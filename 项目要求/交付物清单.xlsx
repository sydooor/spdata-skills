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阶段交付物情况" sheetId="7" r:id="rId1"/>
    <sheet name="释义备注" sheetId="10" r:id="rId2"/>
    <sheet name="交付管理" sheetId="1" state="hidden" r:id="rId3"/>
    <sheet name="分工" sheetId="11" r:id="rId4"/>
    <sheet name="数据统计表" sheetId="18" state="hidden" r:id="rId5"/>
    <sheet name="文档变更记录" sheetId="14" r:id="rId6"/>
    <sheet name="关键文档质量要求（草稿）" sheetId="16" state="hidden" r:id="rId7"/>
  </sheets>
  <definedNames>
    <definedName name="_xlnm._FilterDatabase" localSheetId="0" hidden="1">阶段交付物情况!$A$2:$AG$125</definedName>
    <definedName name="_xlnm._FilterDatabase" localSheetId="2" hidden="1">交付管理!$A$2:$N$97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<sst xmlns="http://schemas.openxmlformats.org/spreadsheetml/2006/main" count="3532" uniqueCount="486">
  <si>
    <t>文档</t>
  </si>
  <si>
    <t>适用组织</t>
  </si>
  <si>
    <t>文档颗粒度</t>
  </si>
  <si>
    <t>模板</t>
  </si>
  <si>
    <t>适用范围</t>
  </si>
  <si>
    <t>备注</t>
  </si>
  <si>
    <t>系统</t>
  </si>
  <si>
    <t>基础组件</t>
  </si>
  <si>
    <t>实施组</t>
  </si>
  <si>
    <t>序号</t>
  </si>
  <si>
    <t>模板编号</t>
  </si>
  <si>
    <t>项目阶段</t>
  </si>
  <si>
    <t>文档分类</t>
  </si>
  <si>
    <t>文件夹名称</t>
  </si>
  <si>
    <t>文档类型</t>
  </si>
  <si>
    <t>集团实施组</t>
  </si>
  <si>
    <t>联合办公实施组</t>
  </si>
  <si>
    <t>推广单位实施组</t>
  </si>
  <si>
    <t>共性（含板块））</t>
  </si>
  <si>
    <t>个性</t>
  </si>
  <si>
    <t>集团维度：[SPIC_JTTG]_[JTSSZ集团实施组]_[模块/独立标段]_[文档类型]_[文件名称]_[版本]_[日期].后缀
联合办公实施组维度：[SPIC_JTTG]_[综合清洁能源组]_[模块/独立标段]_[文档类型]_[文件名称]_[版本]_[日期].后缀
二级单位维度：[SPIC_JTTG]_[公司代码(A)][单位简称(B)]_[模块(C)]_[文档类型(D)]_[文件名称(E)]_[版本(F)]_[日期(G)].后缀</t>
  </si>
  <si>
    <t>牵头组</t>
  </si>
  <si>
    <t>ERP</t>
  </si>
  <si>
    <t>智能仓储</t>
  </si>
  <si>
    <t>合同管理</t>
  </si>
  <si>
    <t>报销报账</t>
  </si>
  <si>
    <t>司库融合</t>
  </si>
  <si>
    <t>共享运营</t>
  </si>
  <si>
    <t>共享融合</t>
  </si>
  <si>
    <t>全面预算</t>
  </si>
  <si>
    <t>MDG</t>
  </si>
  <si>
    <t>GRC</t>
  </si>
  <si>
    <t>BPM</t>
  </si>
  <si>
    <t>集成技术</t>
  </si>
  <si>
    <t>数据</t>
  </si>
  <si>
    <t>项目群管理支撑</t>
  </si>
  <si>
    <t>是否有模板</t>
  </si>
  <si>
    <t>已提交模板数量</t>
  </si>
  <si>
    <t>编校审要求</t>
  </si>
  <si>
    <t>01项目准备</t>
  </si>
  <si>
    <t>01项目管理类</t>
  </si>
  <si>
    <t>推广实施方案</t>
  </si>
  <si>
    <t>PPT</t>
  </si>
  <si>
    <t>√</t>
  </si>
  <si>
    <t>是</t>
  </si>
  <si>
    <t>启动会材料</t>
  </si>
  <si>
    <t>计划管理</t>
  </si>
  <si>
    <t>项目里程碑计划</t>
  </si>
  <si>
    <t>不涉及</t>
  </si>
  <si>
    <t>×</t>
  </si>
  <si>
    <t>否</t>
  </si>
  <si>
    <t>项目详细计划</t>
  </si>
  <si>
    <t>Excel</t>
  </si>
  <si>
    <t>项目实施组组织架构</t>
  </si>
  <si>
    <t>资源管理</t>
  </si>
  <si>
    <t>关键用户名单</t>
  </si>
  <si>
    <t>/</t>
  </si>
  <si>
    <t>项目通讯录</t>
  </si>
  <si>
    <t>05人员培训类</t>
  </si>
  <si>
    <t>入场培训计划</t>
  </si>
  <si>
    <t>关键用户入场培训计划</t>
  </si>
  <si>
    <t>实施顾问入场培训计划</t>
  </si>
  <si>
    <t>入场培训材料</t>
  </si>
  <si>
    <t>关键用户入场培训材料</t>
  </si>
  <si>
    <t>实施顾问入场培训材料</t>
  </si>
  <si>
    <t>PPT,Word,Mp4</t>
  </si>
  <si>
    <t>入场培训签到表</t>
  </si>
  <si>
    <t>Word</t>
  </si>
  <si>
    <t>02蓝图及详细方案迭代</t>
  </si>
  <si>
    <t>02系统实施类</t>
  </si>
  <si>
    <t>总体共性需求清单</t>
  </si>
  <si>
    <t>按需</t>
  </si>
  <si>
    <t>已有签字</t>
  </si>
  <si>
    <t>集团实施组差异分析报告</t>
  </si>
  <si>
    <t>集团实施组蓝图及详细设计方案</t>
  </si>
  <si>
    <t>必需</t>
  </si>
  <si>
    <t>集团实施组流程图</t>
  </si>
  <si>
    <t>Visio,Excel</t>
  </si>
  <si>
    <t>-</t>
  </si>
  <si>
    <t>流程图已经含在蓝图材料和详设方案中</t>
  </si>
  <si>
    <t>集团实施组专题方案</t>
  </si>
  <si>
    <t>统建系统集成方案</t>
  </si>
  <si>
    <t>集成组</t>
  </si>
  <si>
    <t>业态共性需求清单</t>
  </si>
  <si>
    <t>已有签字件</t>
  </si>
  <si>
    <t>业态差异分析报告</t>
  </si>
  <si>
    <t>业态蓝图及详细设计方案</t>
  </si>
  <si>
    <t>业态流程图</t>
  </si>
  <si>
    <t>业态专题方案（境外/核能/工程服务/金融专题方案）</t>
  </si>
  <si>
    <t>个性需求清单</t>
  </si>
  <si>
    <t>二级单位差异分析报告</t>
  </si>
  <si>
    <t>二级单位蓝图及详细设计方案</t>
  </si>
  <si>
    <t>二级单位流程图</t>
  </si>
  <si>
    <t>二级单位专题方案</t>
  </si>
  <si>
    <t>自建系统集成方案</t>
  </si>
  <si>
    <t>集成管理</t>
  </si>
  <si>
    <t>静态数据收集方案</t>
  </si>
  <si>
    <t>Word,PPT</t>
  </si>
  <si>
    <t>数据管理</t>
  </si>
  <si>
    <t>04数据管理类</t>
  </si>
  <si>
    <t>静态数据收集计划及模板</t>
  </si>
  <si>
    <t>缺少数据模板</t>
  </si>
  <si>
    <t>详细设计方案评审汇报材料</t>
  </si>
  <si>
    <t>评审意见单</t>
  </si>
  <si>
    <t>签字件</t>
  </si>
  <si>
    <t>03技术管理类</t>
  </si>
  <si>
    <t>开发清单</t>
  </si>
  <si>
    <t>集成清单</t>
  </si>
  <si>
    <t>03系统实现</t>
  </si>
  <si>
    <t>共性功能设计说明书</t>
  </si>
  <si>
    <t>共性技术功能设计说明书</t>
  </si>
  <si>
    <t>集团实施组单元测试计划及场景</t>
  </si>
  <si>
    <t>集团实施组必须要求</t>
  </si>
  <si>
    <t>集团实施组单元测试报告</t>
  </si>
  <si>
    <t>已要求签字</t>
  </si>
  <si>
    <t>集团实施组集成测试计划及场景</t>
  </si>
  <si>
    <t>集团实施组集成测试报告</t>
  </si>
  <si>
    <t>配置清单</t>
  </si>
  <si>
    <t>建议区分标准配置、个性化配置</t>
  </si>
  <si>
    <t>个性功能设计说明书</t>
  </si>
  <si>
    <t>个性功能技术设计说明书</t>
  </si>
  <si>
    <t>二级单位单元测试计划及场景</t>
  </si>
  <si>
    <t>二级单位单元测试报告</t>
  </si>
  <si>
    <t>二级单位集成测试计划及场景</t>
  </si>
  <si>
    <t>二级单位集成测试报告</t>
  </si>
  <si>
    <t>权限角色收集模板</t>
  </si>
  <si>
    <t>Excel,Word</t>
  </si>
  <si>
    <t>静态数据明细</t>
  </si>
  <si>
    <t>参照218静态数据收集模板</t>
  </si>
  <si>
    <t>静态数据需要签字</t>
  </si>
  <si>
    <t>BPM工作流收集模板</t>
  </si>
  <si>
    <t>不同系统模板不同</t>
  </si>
  <si>
    <t>04上线准备及切换</t>
  </si>
  <si>
    <t>项目整体上线切换策略及方案</t>
  </si>
  <si>
    <t>2个</t>
  </si>
  <si>
    <t>共性问题清单</t>
  </si>
  <si>
    <t>在实施管理工具中统一管理</t>
  </si>
  <si>
    <t>二级单位上线切换策略</t>
  </si>
  <si>
    <t>个性问题清单</t>
  </si>
  <si>
    <t>UAT测试计划及场景</t>
  </si>
  <si>
    <t>UAT测试报告</t>
  </si>
  <si>
    <t>测试报告有签字</t>
  </si>
  <si>
    <t>最终用户培训总结</t>
  </si>
  <si>
    <t>最终用户账号及授权信息收集确认单</t>
  </si>
  <si>
    <t>多个文件</t>
  </si>
  <si>
    <t>静态、动态数据签署报告</t>
  </si>
  <si>
    <t>2个（静态、动态）</t>
  </si>
  <si>
    <t>上线开账准备及开账申请</t>
  </si>
  <si>
    <t>开账检查报告</t>
  </si>
  <si>
    <t>上线开账准备及开账申请检查评估报告</t>
  </si>
  <si>
    <t>操作手册</t>
  </si>
  <si>
    <t>考试试卷</t>
  </si>
  <si>
    <t>培训录屏</t>
  </si>
  <si>
    <t>Mp4</t>
  </si>
  <si>
    <t>性能测试方案</t>
  </si>
  <si>
    <t>性能测试报告</t>
  </si>
  <si>
    <t>第三方出报告</t>
  </si>
  <si>
    <t>系统应急预案</t>
  </si>
  <si>
    <t>数据备份及恢复方案</t>
  </si>
  <si>
    <t>05上线试运行支持</t>
  </si>
  <si>
    <t>系统上线运行报告</t>
  </si>
  <si>
    <t>上线质量报告</t>
  </si>
  <si>
    <t>待定</t>
  </si>
  <si>
    <t>上线单位问题清单</t>
  </si>
  <si>
    <t>月结报告</t>
  </si>
  <si>
    <t>ERP-财务组</t>
  </si>
  <si>
    <t>06项目验收</t>
  </si>
  <si>
    <t>项目文档验收报告</t>
  </si>
  <si>
    <t>验收申请单</t>
  </si>
  <si>
    <t>系统试运行报告</t>
  </si>
  <si>
    <t>遗留问题整改报告（签字版）</t>
  </si>
  <si>
    <t>验收汇报材料</t>
  </si>
  <si>
    <t>服务转移确认单</t>
  </si>
  <si>
    <t>000</t>
  </si>
  <si>
    <t>00项目管理</t>
  </si>
  <si>
    <t>项目章程</t>
  </si>
  <si>
    <t>001</t>
  </si>
  <si>
    <t>双周滚动计划</t>
  </si>
  <si>
    <t>002</t>
  </si>
  <si>
    <t>顾问分工表</t>
  </si>
  <si>
    <t>003</t>
  </si>
  <si>
    <t>关键用户分工表</t>
  </si>
  <si>
    <t>004</t>
  </si>
  <si>
    <t>签到表</t>
  </si>
  <si>
    <t>005</t>
  </si>
  <si>
    <t>会议纪要</t>
  </si>
  <si>
    <t>006</t>
  </si>
  <si>
    <t>会议通知</t>
  </si>
  <si>
    <t>007</t>
  </si>
  <si>
    <t>数据字典</t>
  </si>
  <si>
    <t>008</t>
  </si>
  <si>
    <t>周例会材料</t>
  </si>
  <si>
    <t>009</t>
  </si>
  <si>
    <t>月度例会材料</t>
  </si>
  <si>
    <t>010</t>
  </si>
  <si>
    <t>专题汇报材料</t>
  </si>
  <si>
    <t>011</t>
  </si>
  <si>
    <t>信息安全责任书</t>
  </si>
  <si>
    <t>012</t>
  </si>
  <si>
    <t>项目保密协议</t>
  </si>
  <si>
    <t>013</t>
  </si>
  <si>
    <t>文档管理办法</t>
  </si>
  <si>
    <t>014</t>
  </si>
  <si>
    <t>项目问题及风险管理办法</t>
  </si>
  <si>
    <t>015</t>
  </si>
  <si>
    <t>技术开发管控办法</t>
  </si>
  <si>
    <t>016</t>
  </si>
  <si>
    <t>交付质量管理办法</t>
  </si>
  <si>
    <t>017</t>
  </si>
  <si>
    <t>沟通机制</t>
  </si>
  <si>
    <t>018</t>
  </si>
  <si>
    <t>进度管理机制</t>
  </si>
  <si>
    <t>019</t>
  </si>
  <si>
    <t>项目变更管理办法</t>
  </si>
  <si>
    <t>020</t>
  </si>
  <si>
    <t>宣传培训工作制度</t>
  </si>
  <si>
    <t>021</t>
  </si>
  <si>
    <t>项目人员入离场管理办法</t>
  </si>
  <si>
    <t>022</t>
  </si>
  <si>
    <t>考勤管理机制</t>
  </si>
  <si>
    <t>023</t>
  </si>
  <si>
    <t>厂商考评管理办法</t>
  </si>
  <si>
    <t>024</t>
  </si>
  <si>
    <t>项目质量管理办法</t>
  </si>
  <si>
    <t>025</t>
  </si>
  <si>
    <t>需求评审材料</t>
  </si>
  <si>
    <t>026</t>
  </si>
  <si>
    <t>需求评审记录</t>
  </si>
  <si>
    <t>027</t>
  </si>
  <si>
    <t>评审会议纪要</t>
  </si>
  <si>
    <t>028</t>
  </si>
  <si>
    <t>系统应急方案</t>
  </si>
  <si>
    <t>029</t>
  </si>
  <si>
    <t>上线安全检测报告</t>
  </si>
  <si>
    <t>030</t>
  </si>
  <si>
    <t>系统试运行期运维方案</t>
  </si>
  <si>
    <t>031</t>
  </si>
  <si>
    <t>项目总结报告</t>
  </si>
  <si>
    <t>032</t>
  </si>
  <si>
    <t>建转运方案</t>
  </si>
  <si>
    <t>033</t>
  </si>
  <si>
    <t>建转运交接计划及清单</t>
  </si>
  <si>
    <t>034</t>
  </si>
  <si>
    <t>涉及开发的程序/系统源代码</t>
  </si>
  <si>
    <t>035</t>
  </si>
  <si>
    <t>建转运问题清单</t>
  </si>
  <si>
    <t>036</t>
  </si>
  <si>
    <t>系统架构与账号创建、传输管理与安全管理规范</t>
  </si>
  <si>
    <t>037</t>
  </si>
  <si>
    <t>代码安全检测</t>
  </si>
  <si>
    <t>配置签字单</t>
  </si>
  <si>
    <t>业态共性单元测试计划及场景</t>
  </si>
  <si>
    <t>业态共性单元测试报告</t>
  </si>
  <si>
    <t>需求变更单</t>
  </si>
  <si>
    <t>需求变更清单</t>
  </si>
  <si>
    <t>回归测试</t>
  </si>
  <si>
    <t>回归测试报告</t>
  </si>
  <si>
    <t>释义</t>
  </si>
  <si>
    <t>01 项目准备</t>
  </si>
  <si>
    <t xml:space="preserve">业主单位与实施厂商快速组建项目实施团队，建章立制，召开项目启动会议，推进项目建设。
</t>
  </si>
  <si>
    <t>会议纪要、项目计划、项目章程、项目周报、项目周报、项目月报、项目通知、项目公告、问题清单、项目后勤、新闻手册、组织架构、通类讯录、开账申请、系统运行报告、总结报告、其他</t>
  </si>
  <si>
    <t>共性</t>
  </si>
  <si>
    <t>集团共性</t>
  </si>
  <si>
    <t xml:space="preserve">面向集团所有单位的统一要求，是保障集团管控、数据标准和业务协同的基础，与集团战略规划匹配。
</t>
  </si>
  <si>
    <t>为平衡集团公司 “统一集中管控” 与 “各下属单位业务差异化” 的核心矛盾，规范集团信息化项目需求管理流程，确保需求精准对接集团战略导向、板块业务特性及二级单位实际应用场景，现对需求进行分层分类管理，划分为集团共性需求、板块共性需求、单位个性需求三类</t>
  </si>
  <si>
    <t>02 蓝图及详细方案迭代</t>
  </si>
  <si>
    <t>继承已有建设成果，与推广单位进行深度沟通，开展蓝图及详设方案迭代，快速形成集团最优管理模式。</t>
  </si>
  <si>
    <t>现状调研、现状分析报告、业务标准、蓝图方案、专项方案、业务流程、差异分析、单元测试、集成测试、用户接受测试、回归测试、切换策略、上线方案</t>
  </si>
  <si>
    <t>板块共性</t>
  </si>
  <si>
    <t>集团下属同一业务板块（如工程板块、核电板块）内各单位的共同需求，是对集团共性需求的补充和细化。</t>
  </si>
  <si>
    <t>03 系统实现</t>
  </si>
  <si>
    <t>按照业务蓝图及详设方案进行系统配置、系统功能开发、单元测试、集成测试，保持业务功能实现与业务蓝图及详设方案一致。</t>
  </si>
  <si>
    <t>开发清单、配置清单、功能说明、接口映射、开发规范、接口集成规范、应用界面字段命名规范</t>
  </si>
  <si>
    <t>二级单位特有的、非标准化的需求。源于该单位地域政策、特殊管理模式或历史业务习惯。</t>
  </si>
  <si>
    <t>04 上线准备及切换</t>
  </si>
  <si>
    <t>组织用户接受测试，完成系统验证。开展数据收集、系统培训，做好系统上线准备。</t>
  </si>
  <si>
    <t>数据模板、数据标准</t>
  </si>
  <si>
    <t>05 上线试运行支持</t>
  </si>
  <si>
    <t>做好系统上线及运维支持工作。</t>
  </si>
  <si>
    <t>培训手册、培训评估、培训计划、培训问卷、操作手册、培训讲义</t>
  </si>
  <si>
    <t>06 项目验收</t>
  </si>
  <si>
    <t>具备阶段验收条件，申请项目验收。</t>
  </si>
  <si>
    <t>00 项目管理</t>
  </si>
  <si>
    <t>应该包含 项目管理中制度类文档、管理类文档、 项目管理过程需归档文档</t>
  </si>
  <si>
    <t>文档命名规则</t>
  </si>
  <si>
    <t>模块</t>
  </si>
  <si>
    <t>ZTZ-总体组、 FICO-财务、 MM-物资组、  PS-项目组、 PM-设备组、 PP-制造组 、SD-销售组
HR-人资组、BPC-BPC、 BX-报销报账 、SSF-共享运营、 WM-智能仓储 、CM-合同组、 BPM-BPM组 GRC-GRC组、 MDG-MDG组、 INT-集成组、 DAT-数据组 、TEC-技术组 、PMO-项目群组</t>
  </si>
  <si>
    <t>版本</t>
  </si>
  <si>
    <t>初始版本为 V0.1，定稿后修改为V1.0，修订后递增（如 V1.1），正式提交版标注 “VF（正式版）</t>
  </si>
  <si>
    <t>示例</t>
  </si>
  <si>
    <t>意义要达到的效果、适用程度、以及编号分配周期</t>
  </si>
  <si>
    <t>交付物编号</t>
  </si>
  <si>
    <t>责任方</t>
  </si>
  <si>
    <t>涉及系统/模块</t>
  </si>
  <si>
    <t>迭代周期</t>
  </si>
  <si>
    <t>检查点</t>
  </si>
  <si>
    <t>合同规定（Y/N）</t>
  </si>
  <si>
    <t>访问权限</t>
  </si>
  <si>
    <t>注意事项：专业系统、基础组件、集成技术、basis视角需要补充讨论</t>
  </si>
  <si>
    <t>项目管理</t>
  </si>
  <si>
    <t>集团PMO</t>
  </si>
  <si>
    <t>汇报文档</t>
  </si>
  <si>
    <t>不迭代</t>
  </si>
  <si>
    <t>内部</t>
  </si>
  <si>
    <t>专题汇报</t>
  </si>
  <si>
    <t>专项汇报</t>
  </si>
  <si>
    <t>会议管理</t>
  </si>
  <si>
    <t>PMO会议纪要</t>
  </si>
  <si>
    <t>签字</t>
  </si>
  <si>
    <t>？</t>
  </si>
  <si>
    <t>规章制度</t>
  </si>
  <si>
    <t>公开</t>
  </si>
  <si>
    <t>文档命名规范</t>
  </si>
  <si>
    <t>项目交付清单</t>
  </si>
  <si>
    <t>文档模板</t>
  </si>
  <si>
    <t>Word/Excel</t>
  </si>
  <si>
    <t>文档服务器管理</t>
  </si>
  <si>
    <t>PDF</t>
  </si>
  <si>
    <t>交付质量管理</t>
  </si>
  <si>
    <t>厂商PMO</t>
  </si>
  <si>
    <t>进度管理</t>
  </si>
  <si>
    <t>进度看板</t>
  </si>
  <si>
    <t>质量管理</t>
  </si>
  <si>
    <t>项目质量管理计划</t>
  </si>
  <si>
    <t>过程管理</t>
  </si>
  <si>
    <t>项目模板</t>
  </si>
  <si>
    <t xml:space="preserve">Excel/Word/PPT </t>
  </si>
  <si>
    <t>上线申请报告</t>
  </si>
  <si>
    <t>开账申请</t>
  </si>
  <si>
    <t>问题管理</t>
  </si>
  <si>
    <t>详设阶段问题清单</t>
  </si>
  <si>
    <t>阶段内迭代</t>
  </si>
  <si>
    <t>单元测试问题清单</t>
  </si>
  <si>
    <t>集成测试问题清单</t>
  </si>
  <si>
    <t>UAT测试问题清单</t>
  </si>
  <si>
    <t>上线切换问题清单</t>
  </si>
  <si>
    <t>试运行问题清单</t>
  </si>
  <si>
    <t>需求管理</t>
  </si>
  <si>
    <t>需求申请单</t>
  </si>
  <si>
    <t>Excel/Word</t>
  </si>
  <si>
    <t>阶段迭代</t>
  </si>
  <si>
    <t>评审材料</t>
  </si>
  <si>
    <t>项目准备</t>
  </si>
  <si>
    <t>各实施厂商</t>
  </si>
  <si>
    <t>项目进度计划</t>
  </si>
  <si>
    <t>通讯录</t>
  </si>
  <si>
    <t>培训管理</t>
  </si>
  <si>
    <t>培训材料</t>
  </si>
  <si>
    <t>会议纪要？</t>
  </si>
  <si>
    <t>详细设计</t>
  </si>
  <si>
    <t>需求清单</t>
  </si>
  <si>
    <t>差异分析报告</t>
  </si>
  <si>
    <t>业务标准？</t>
  </si>
  <si>
    <t>流程清单</t>
  </si>
  <si>
    <t>专题方案</t>
  </si>
  <si>
    <t>蓝图</t>
  </si>
  <si>
    <t>总体组、推广单位（二级单位）</t>
  </si>
  <si>
    <t>详细设计方案</t>
  </si>
  <si>
    <t>总体组</t>
  </si>
  <si>
    <t>含业务流程、专题方案</t>
  </si>
  <si>
    <t>详细设计方案（评审汇报材料）</t>
  </si>
  <si>
    <t>评审手册</t>
  </si>
  <si>
    <t>系统实现</t>
  </si>
  <si>
    <t>业务文档</t>
  </si>
  <si>
    <t>模块权限角色清单</t>
  </si>
  <si>
    <t>系统配置清单</t>
  </si>
  <si>
    <t>开发说明书</t>
  </si>
  <si>
    <t>技术文档</t>
  </si>
  <si>
    <t>技术说明书</t>
  </si>
  <si>
    <t>测试阶段</t>
  </si>
  <si>
    <t>单元测试</t>
  </si>
  <si>
    <t>单元测试场景清单</t>
  </si>
  <si>
    <t>单元测试脚本</t>
  </si>
  <si>
    <t>单元测试报告（签字版）</t>
  </si>
  <si>
    <t>集成测试</t>
  </si>
  <si>
    <t>集成测试场景清单</t>
  </si>
  <si>
    <t>集成测试脚本</t>
  </si>
  <si>
    <t>集成测试报告（签字版）</t>
  </si>
  <si>
    <t>压力测试</t>
  </si>
  <si>
    <t>压力测试报告</t>
  </si>
  <si>
    <t>性能测试</t>
  </si>
  <si>
    <t>系统性能测试报告</t>
  </si>
  <si>
    <t>上线准备</t>
  </si>
  <si>
    <t>数据文档</t>
  </si>
  <si>
    <t>静态数据清单</t>
  </si>
  <si>
    <t>动态数据清单</t>
  </si>
  <si>
    <t>数据收集结果确认(签字版)</t>
  </si>
  <si>
    <t>培训文档</t>
  </si>
  <si>
    <t>上线切换方案</t>
  </si>
  <si>
    <t>Word/PPT</t>
  </si>
  <si>
    <t>安全检查报告</t>
  </si>
  <si>
    <t>上线切换</t>
  </si>
  <si>
    <t>试运行</t>
  </si>
  <si>
    <t>试运行期间问题清单</t>
  </si>
  <si>
    <t>试运行报告</t>
  </si>
  <si>
    <t>建转运</t>
  </si>
  <si>
    <t>建转运交接清单</t>
  </si>
  <si>
    <t>项目验收</t>
  </si>
  <si>
    <t>验收文档</t>
  </si>
  <si>
    <t>文档验收报告</t>
  </si>
  <si>
    <t>系统试运行报告（签字版）</t>
  </si>
  <si>
    <t>牵头</t>
  </si>
  <si>
    <t>第一版</t>
  </si>
  <si>
    <t>第二版</t>
  </si>
  <si>
    <t>罗沿鑫</t>
  </si>
  <si>
    <t>已完成</t>
  </si>
  <si>
    <t>俞敏</t>
  </si>
  <si>
    <t>李红斌</t>
  </si>
  <si>
    <t>陈浩</t>
  </si>
  <si>
    <t>张冬冬</t>
  </si>
  <si>
    <t>李昂</t>
  </si>
  <si>
    <t>王兴</t>
  </si>
  <si>
    <t>交付物清单项</t>
  </si>
  <si>
    <t>已形成初稿</t>
  </si>
  <si>
    <t>初稿编制中</t>
  </si>
  <si>
    <t>蓝图及详细方案迭代</t>
  </si>
  <si>
    <t>上线准备及切换</t>
  </si>
  <si>
    <t>上线试运行支持</t>
  </si>
  <si>
    <t>合计</t>
  </si>
  <si>
    <t>调整分类</t>
  </si>
  <si>
    <t>调整内容</t>
  </si>
  <si>
    <t>调整依据</t>
  </si>
  <si>
    <t>提出人员</t>
  </si>
  <si>
    <t>日期</t>
  </si>
  <si>
    <t>交付物</t>
  </si>
  <si>
    <t>质量要求</t>
  </si>
  <si>
    <t>对应交付物文档</t>
  </si>
  <si>
    <t>《启动会材料》</t>
  </si>
  <si>
    <t>1、包括项目实施目标、实施范围；
2、包括项目组织架构和核心成员；
3、包括项目里程碑计划、沟通汇报计划、风险管理计划；
4、包括项目整体情况介绍；</t>
  </si>
  <si>
    <t>101启动会材料</t>
  </si>
  <si>
    <t>《项目计划》</t>
  </si>
  <si>
    <t>1、项目进度计划包括项目里程碑节点和项目详细计划；
2、项目详细计划中包含项目阶段内的活动，例如单元测试、集成测试、系统联调测试等；
3、包括质量保证活动，例如需求评审、方案评审、测试、验收审查等；</t>
  </si>
  <si>
    <t>102项目里程碑计划、103项目详细计划</t>
  </si>
  <si>
    <t>《需求收集清单》</t>
  </si>
  <si>
    <t>1、业务需求进行了充分分解和详细描述，不遗漏不重复，可度量可实现可交付；
2、对性能、安全、交互性等非业务性需求进行了详细描述，可度量；</t>
  </si>
  <si>
    <t>《需求跟踪表》</t>
  </si>
  <si>
    <t>1、项目建设过程中用户提出的需求变更和新需求，详细记录和响应状态跟踪；
2、需要关联需求最终状态，如开发状态、生产及发布状态等
3、需明确需求当前状态、处理及跟进情况</t>
  </si>
  <si>
    <t>200总体共性需求清单、206板块共性需求清单、211个性需求清单</t>
  </si>
  <si>
    <t>《详细设计方案》</t>
  </si>
  <si>
    <t>1、包括系统集成架构、系统业务架构；
2、包括系统业务架构及逻辑架构；
3、包括系统业务模块划分和功能架构；
4、包括核心和重点业务的设计和处理流程；
5、包括权限设计、流程设计等内容；
6、包括数据库结构设计，系统内部各模块间数据集成；
7、包括与外部系统数据和业务集成架构；</t>
  </si>
  <si>
    <t>《功能说明书》</t>
  </si>
  <si>
    <t>1、关联清晰业务处理逻辑；
2、需要明确清晰的业务逻辑变更记录及时间；
3、包括功能界面设计；
4、包括标题、数据查询、统计、翻页、导入、导出等辅助功能齐全；
5、包括数据存储说明；
6、包括规范的数据输入值（值列表、下拉列表等）描述；</t>
  </si>
  <si>
    <t>300共性功能设计说明书、307个性功能设计说明书</t>
  </si>
  <si>
    <t>《项目方案评审报告》</t>
  </si>
  <si>
    <t>根据评审记录包含评审意见、评审人签字等原始记录</t>
  </si>
  <si>
    <t>219详细设计方案评审汇报材料、220评审意见单、025需求评审材料、026需求评审记录、027评审会议纪要</t>
  </si>
  <si>
    <t>《需求变更》</t>
  </si>
  <si>
    <t>1、变更原因、内容、功能等详细说明；
2、需要包含需求变更签字确认文件、需求变更评审记录、需求评审会议纪要</t>
  </si>
  <si>
    <t>《问题跟踪表》</t>
  </si>
  <si>
    <t>1、项目建设过程中用户提出的问题需要按阶段管理
2、问题分类清晰、责任人清晰等需详细记录和响应状态跟踪
3、需要关联问题最终状态，如开发状态、生产及发布状态等
4、需明确问题当前状态、处理及跟进情况</t>
  </si>
  <si>
    <t>《测试方案》</t>
  </si>
  <si>
    <t>1、分别针对功能测试、集成测试、安全测试、性能测试、用户接收测试编写测试方法、用例、环境、数据准备以及时间计划；
2、包括测试计划、测试方法；
3、包含全部业务需求的测试案例（测试功能点、输入、预期输出）；
4、包含测试范围、涉及的自建或统建系统</t>
  </si>
  <si>
    <t>302总体组单元测试计划及场景、304总体组集成测试计划及场景、309二级单位单元测试计划及场景、311二级单位集成测试计划及场景、404UAT测试计划及场景、414性能测试方案</t>
  </si>
  <si>
    <t>《测试报告》</t>
  </si>
  <si>
    <t>1、要求开展UAT测试，提供用户接受测试报告（签字）；
2、包括系统功能测试报告（集成测试报告可包含在功能测试报告内）（签字）；测试执行情况及结果、整改措施和确认签字
3、包括性能测试报告（签字）；测试执行情况及结果、整改措施和确认签字
4、包括系统上线安全检测报告（安全漏扫、渗透测试等），测试执行情况及结果、整改措施和确认签字；</t>
  </si>
  <si>
    <t>303总体组单元测试报告、305总体组集成测试报告
310二级单位单元测试报告、312二级单位集成测试报告、405UAT测试报告、415性能测试报告</t>
  </si>
  <si>
    <t>《用户操作手册》</t>
  </si>
  <si>
    <t>1、业务场景覆盖全部业务需求，操作说明清晰易懂，包括回退等异常业务操作的说明；
2、业务操作说明与操作功能界面截图清晰对应；</t>
  </si>
  <si>
    <t>411操作手册</t>
  </si>
  <si>
    <t>《培训方案》、《培训材料》、培训视频</t>
  </si>
  <si>
    <t>1、包含系统功能操作培训、常见问题解决方案，系统方案、集成架构、业务架构等。</t>
  </si>
  <si>
    <t>109关键用户入场培训材料、110实施顾问入场培训材料</t>
  </si>
  <si>
    <t>《项目建转运方案》</t>
  </si>
  <si>
    <t>1、需包含知识转移方案、知识转移计划。
2、需包含常见问题清单、业务系统方案、相关业务文档</t>
  </si>
  <si>
    <t>032建转运方案</t>
  </si>
  <si>
    <t>《试运行期运维方案》</t>
  </si>
  <si>
    <t>1、包括试用期运维人员安排和运维职责分工；
2、包括运维操作管理规程，运维工作流程；
3、包括风险隐患排查整改周期、应急预案、应急演练计划；
4、包括应急处置措施；</t>
  </si>
  <si>
    <t>030系统试运行期运维方案</t>
  </si>
  <si>
    <t>《上线申请表》</t>
  </si>
  <si>
    <t>1、上线申请单完成签字；
2、包含各系统配置情况检查、数据、权限等检查</t>
  </si>
  <si>
    <t>409上线开账准备及开账申请</t>
  </si>
  <si>
    <t>《试运行报告》</t>
  </si>
  <si>
    <t>1、包括对试运行阶段的保障工作进行回顾和总结；
2、包括故障和问题处理情况总结；
3、包括系统试运行效果整体评价；</t>
  </si>
  <si>
    <t>602系统试运行报告</t>
  </si>
  <si>
    <t>《验收申请单》</t>
  </si>
  <si>
    <t>1、申请时先提供word版，待验收流程完成后签字扫描，提供电子版；
2、含合同规定的内容完成情况清单、项目验收提交资料清单、系统遗留问题备忘录</t>
  </si>
  <si>
    <t>601验收申请单</t>
  </si>
  <si>
    <t>《验收汇报材料》</t>
  </si>
  <si>
    <t>1、包括项目建设过程回顾；
2、包括项目的总体解决方案的概述；
3、包括项目建设目标实现情况、项目亮点总结和经验建议；
4、包括系统遗留问题整改情况；
5、包括系统试运行情况总结；
6、系统后续运维安排；</t>
  </si>
  <si>
    <t>604验收汇报材料</t>
  </si>
  <si>
    <t>《验收报告》</t>
  </si>
  <si>
    <t>1、包括系统遗留问题解决情况。申请时先提供word版，待验收流程完成后签字扫描，提供电子版；
2、含合同规定的内容完成情况清单；
3、项目验收提交资料清单；
4、项目验收遗留问题备忘录</t>
  </si>
  <si>
    <t>600项目文档验收报告</t>
  </si>
  <si>
    <t>《项目总结报告》</t>
  </si>
  <si>
    <t>1、包括项目建设历程和建设内容；
2、包括项目资金使用情况，项目成本，项目利润；
3、包括系统上线以来的运维情况总结；
4、包括项目建设效果；
5、包括问题教训和经验总结提炼；</t>
  </si>
  <si>
    <t>031项目总结报告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</si>
</sst>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39">
    <font>
      <sz val="11"/>
      <color theme="1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rgb="FF000000"/>
      <name val="微软雅黑"/>
      <charset val="134"/>
    </font>
    <font>
      <sz val="8"/>
      <color rgb="FF000000"/>
      <name val="微软雅黑"/>
      <charset val="134"/>
    </font>
    <font>
      <b/>
      <sz val="11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8"/>
      <color rgb="FFFF0000"/>
      <name val="微软雅黑"/>
      <charset val="134"/>
    </font>
    <font>
      <sz val="11"/>
      <color rgb="FF000000"/>
      <name val="宋体"/>
      <charset val="134"/>
    </font>
    <font>
      <strike/>
      <sz val="8"/>
      <color theme="1"/>
      <name val="微软雅黑"/>
      <charset val="134"/>
    </font>
    <font>
      <b/>
      <sz val="8"/>
      <color theme="1"/>
      <name val="微软雅黑"/>
      <charset val="134"/>
    </font>
    <font>
      <b/>
      <sz val="8"/>
      <color rgb="FFFF0000"/>
      <name val="微软雅黑"/>
      <charset val="134"/>
    </font>
    <font>
      <strike/>
      <sz val="8"/>
      <color rgb="FF000000"/>
      <name val="微软雅黑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1"/>
      <color rgb="FFFFFFFF"/>
      <name val="微软雅黑"/>
      <charset val="134"/>
    </font>
    <font>
      <sz val="8"/>
      <color rgb="FFFFFF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22" applyNumberFormat="0" applyAlignment="0" applyProtection="0">
      <alignment vertical="center"/>
    </xf>
    <xf numFmtId="0" fontId="29" fillId="2" borderId="23" applyNumberFormat="0" applyAlignment="0" applyProtection="0">
      <alignment vertical="center"/>
    </xf>
    <xf numFmtId="0" fontId="30" fillId="2" borderId="22" applyNumberFormat="0" applyAlignment="0" applyProtection="0">
      <alignment vertical="center"/>
    </xf>
    <xf numFmtId="0" fontId="31" fillId="10" borderId="24" applyNumberFormat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58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Protection="1">
      <alignment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58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3" fillId="0" borderId="0" xfId="0" applyFont="1" applyBorder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0" fillId="0" borderId="0" xfId="0" applyFill="1">
      <alignment vertical="center"/>
    </xf>
    <xf numFmtId="0" fontId="16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7" fillId="6" borderId="11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8" fillId="6" borderId="14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6" borderId="15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0" fontId="17" fillId="6" borderId="9" xfId="0" applyFont="1" applyFill="1" applyBorder="1" applyAlignment="1">
      <alignment horizontal="center" vertical="center"/>
    </xf>
    <xf numFmtId="0" fontId="17" fillId="6" borderId="15" xfId="0" applyNumberFormat="1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6" borderId="18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>
      <alignment vertical="center"/>
    </xf>
    <xf numFmtId="0" fontId="3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" fillId="0" borderId="14" xfId="0" applyFont="1" applyBorder="1" applyAlignment="1">
      <alignment horizontal="center" vertical="center"/>
    </xf>
    <xf numFmtId="0" fontId="3" fillId="0" borderId="14" xfId="0" applyNumberFormat="1" applyFont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3" fillId="0" borderId="1" xfId="0" applyFont="1" applyBorder="1" applyAlignment="1" quotePrefix="1">
      <alignment horizontal="center" vertical="center"/>
    </xf>
    <xf numFmtId="0" fontId="12" fillId="0" borderId="1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D73434"/>
      </font>
      <fill>
        <patternFill patternType="solid">
          <bgColor rgb="FFFEC8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47" dbFileVersion="0" changeLogVersion="0">
    <open main="56" threadCnt="1"/>
    <sheetInfos>
      <sheetInfo cellCmpFml="10" sheetStid="7">
        <open main="7" threadCnt="1"/>
      </sheetInfo>
      <sheetInfo cellCmpFml="0" sheetStid="10">
        <open threadCnt="1"/>
      </sheetInfo>
      <sheetInfo cellCmpFml="0" sheetStid="1">
        <open main="2" threadCnt="1"/>
      </sheetInfo>
      <sheetInfo cellCmpFml="0" sheetStid="11">
        <open threadCnt="1"/>
      </sheetInfo>
      <sheetInfo cellCmpFml="32" sheetStid="18">
        <open threadCnt="1"/>
      </sheetInfo>
      <sheetInfo cellCmpFml="2" sheetStid="14">
        <open threadCnt="1"/>
      </sheetInfo>
      <sheetInfo cellCmpFml="3" sheetStid="16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www.wps.cn/officeDocument/2023/relationships/woinfos" Target="woinfos.xml"/><Relationship Id="rId15" Type="http://schemas.openxmlformats.org/officeDocument/2006/relationships/styles" Target="styles.xml"/><Relationship Id="rId14" Type="http://schemas.openxmlformats.org/officeDocument/2006/relationships/customXml" Target="../customXml/item5.xml"/><Relationship Id="rId13" Type="http://schemas.openxmlformats.org/officeDocument/2006/relationships/customXml" Target="../customXml/item4.xml"/><Relationship Id="rId12" Type="http://schemas.openxmlformats.org/officeDocument/2006/relationships/customXml" Target="../customXml/item3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G125"/>
  <sheetViews>
    <sheetView tabSelected="1" workbookViewId="0">
      <pane xSplit="6" ySplit="3" topLeftCell="M123" activePane="bottomRight" state="frozen"/>
      <selection/>
      <selection pane="topRight"/>
      <selection pane="bottomLeft"/>
      <selection pane="bottomRight" activeCell="N124" sqref="N124"/>
    </sheetView>
  </sheetViews>
  <sheetFormatPr defaultColWidth="9" defaultRowHeight="13.5"/>
  <cols>
    <col min="1" max="1" width="4.125" style="1" customWidth="1"/>
    <col min="2" max="2" width="6.875" style="1" customWidth="1"/>
    <col min="3" max="3" width="18.9583333333333" style="1" customWidth="1"/>
    <col min="4" max="4" width="14.3416666666667" style="1" customWidth="1"/>
    <col min="5" max="5" width="36.8166666666667" customWidth="1"/>
    <col min="6" max="6" width="32.75" style="1" customWidth="1"/>
    <col min="7" max="7" width="17.225" style="1" customWidth="1"/>
    <col min="8" max="8" width="11.6583333333333" style="1" customWidth="1"/>
    <col min="9" max="10" width="11.125" style="1" customWidth="1"/>
    <col min="11" max="11" width="12.625" style="1" customWidth="1"/>
    <col min="12" max="12" width="9.09166666666667" style="1" customWidth="1"/>
    <col min="13" max="13" width="77.025" style="66" customWidth="1"/>
    <col min="14" max="14" width="11.0333333333333" style="67" customWidth="1"/>
    <col min="15" max="15" width="9.60833333333333" style="1" customWidth="1"/>
    <col min="16" max="16" width="6.875" style="1" customWidth="1"/>
    <col min="17" max="25" width="8.35833333333333" style="1" customWidth="1"/>
    <col min="26" max="26" width="9.89166666666667" style="1" customWidth="1"/>
    <col min="27" max="27" width="8.35833333333333" style="1" customWidth="1"/>
    <col min="28" max="28" width="10.25" style="68" customWidth="1"/>
    <col min="29" max="29" width="19.75" style="3" customWidth="1"/>
    <col min="30" max="30" width="9" style="1" hidden="1" customWidth="1"/>
    <col min="31" max="31" width="9.41666666666667" hidden="1" customWidth="1"/>
    <col min="32" max="32" width="15.4" style="22" customWidth="1"/>
    <col min="33" max="33" width="12.625" customWidth="1"/>
  </cols>
  <sheetData>
    <row r="1" s="63" customFormat="1" ht="24.95" customHeight="1" spans="1:33">
      <c r="A1" s="69" t="s">
        <v>0</v>
      </c>
      <c r="B1" s="70"/>
      <c r="C1" s="70"/>
      <c r="D1" s="70"/>
      <c r="E1"/>
      <c r="F1" s="70"/>
      <c r="G1" s="71"/>
      <c r="H1" s="69" t="s">
        <v>1</v>
      </c>
      <c r="I1" s="70"/>
      <c r="J1" s="71"/>
      <c r="K1" s="69" t="s">
        <v>2</v>
      </c>
      <c r="L1" s="71"/>
      <c r="M1" s="72" t="s">
        <v>3</v>
      </c>
      <c r="N1" s="72"/>
      <c r="O1" s="73" t="s">
        <v>4</v>
      </c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4" t="s">
        <v>5</v>
      </c>
      <c r="AD1" s="5"/>
      <c r="AF1" s="75"/>
    </row>
    <row r="2" s="63" customFormat="1" ht="25.85" customHeight="1" spans="1:33">
      <c r="A2" s="76"/>
      <c r="B2" s="77"/>
      <c r="C2" s="77"/>
      <c r="D2" s="77"/>
      <c r="E2"/>
      <c r="F2" s="77"/>
      <c r="G2" s="78"/>
      <c r="H2" s="76"/>
      <c r="I2" s="77"/>
      <c r="J2" s="78"/>
      <c r="K2" s="76"/>
      <c r="L2" s="78"/>
      <c r="M2" s="79"/>
      <c r="N2" s="80"/>
      <c r="O2" s="81" t="s">
        <v>6</v>
      </c>
      <c r="P2" s="82"/>
      <c r="Q2" s="82"/>
      <c r="R2" s="82"/>
      <c r="S2" s="82"/>
      <c r="T2" s="82"/>
      <c r="U2" s="82"/>
      <c r="V2" s="83"/>
      <c r="W2" s="81" t="s">
        <v>7</v>
      </c>
      <c r="X2" s="82"/>
      <c r="Y2" s="83"/>
      <c r="Z2" s="81" t="s">
        <v>8</v>
      </c>
      <c r="AA2" s="82"/>
      <c r="AB2" s="83"/>
      <c r="AC2" s="84"/>
      <c r="AD2" s="5"/>
      <c r="AF2" s="75"/>
    </row>
    <row r="3" ht="51.55" customHeight="1" spans="1:33">
      <c r="A3" s="85" t="s">
        <v>9</v>
      </c>
      <c r="B3" s="85" t="s">
        <v>10</v>
      </c>
      <c r="C3" s="85" t="s">
        <v>11</v>
      </c>
      <c r="D3" s="85" t="s">
        <v>12</v>
      </c>
      <c r="E3" s="85" t="s">
        <v>13</v>
      </c>
      <c r="F3" s="85" t="s">
        <v>0</v>
      </c>
      <c r="G3" s="85" t="s">
        <v>14</v>
      </c>
      <c r="H3" s="85" t="s">
        <v>15</v>
      </c>
      <c r="I3" s="85" t="s">
        <v>16</v>
      </c>
      <c r="J3" s="85" t="s">
        <v>17</v>
      </c>
      <c r="K3" s="85" t="s">
        <v>18</v>
      </c>
      <c r="L3" s="85" t="s">
        <v>19</v>
      </c>
      <c r="M3" s="86" t="s">
        <v>20</v>
      </c>
      <c r="N3" s="87" t="s">
        <v>21</v>
      </c>
      <c r="O3" s="85" t="s">
        <v>22</v>
      </c>
      <c r="P3" s="85" t="s">
        <v>23</v>
      </c>
      <c r="Q3" s="85" t="s">
        <v>24</v>
      </c>
      <c r="R3" s="85" t="s">
        <v>25</v>
      </c>
      <c r="S3" s="85" t="s">
        <v>26</v>
      </c>
      <c r="T3" s="85" t="s">
        <v>27</v>
      </c>
      <c r="U3" s="85" t="s">
        <v>28</v>
      </c>
      <c r="V3" s="85" t="s">
        <v>29</v>
      </c>
      <c r="W3" s="85" t="s">
        <v>30</v>
      </c>
      <c r="X3" s="85" t="s">
        <v>31</v>
      </c>
      <c r="Y3" s="85" t="s">
        <v>32</v>
      </c>
      <c r="Z3" s="85" t="s">
        <v>33</v>
      </c>
      <c r="AA3" s="85" t="s">
        <v>34</v>
      </c>
      <c r="AB3" s="85" t="s">
        <v>35</v>
      </c>
      <c r="AC3" s="85" t="s">
        <v>5</v>
      </c>
      <c r="AD3" s="85" t="s">
        <v>36</v>
      </c>
      <c r="AE3" s="85" t="s">
        <v>37</v>
      </c>
      <c r="AF3" s="85" t="s">
        <v>38</v>
      </c>
    </row>
    <row r="4" ht="23.1" customHeight="1" spans="1:33">
      <c r="A4" s="5">
        <f t="shared" ref="A4:A67" si="0">ROW()-3</f>
        <v>1</v>
      </c>
      <c r="B4" s="6">
        <v>100</v>
      </c>
      <c r="C4" s="5" t="s">
        <v>39</v>
      </c>
      <c r="D4" s="6" t="s">
        <v>40</v>
      </c>
      <c r="E4" s="6" t="s">
        <v>41</v>
      </c>
      <c r="F4" s="6" t="s">
        <v>41</v>
      </c>
      <c r="G4" s="88" t="s">
        <v>42</v>
      </c>
      <c r="H4" s="5" t="s">
        <v>43</v>
      </c>
      <c r="I4" s="5" t="s">
        <v>43</v>
      </c>
      <c r="J4" s="5" t="s">
        <v>43</v>
      </c>
      <c r="K4" s="5"/>
      <c r="L4" s="5"/>
      <c r="M4" s="89" t="str">
        <f t="shared" ref="M4:M67" si="1">_xlfn.TEXTJOIN("_",1,"SPIC_JTTG_XXXX_XXXX",D4,B4&amp;F4,"V1.0_20260106")</f>
        <v>SPIC_JTTG_XXXX_XXXX_01项目管理类_100推广实施方案_V1.0_20260106</v>
      </c>
      <c r="N4" s="90" t="s">
        <v>35</v>
      </c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2" t="s">
        <v>43</v>
      </c>
      <c r="AC4" s="16"/>
      <c r="AD4" s="6" t="s">
        <v>44</v>
      </c>
      <c r="AE4" s="93">
        <v>1</v>
      </c>
      <c r="AF4" s="94"/>
    </row>
    <row r="5" ht="23.1" customHeight="1" spans="1:33">
      <c r="A5" s="5">
        <f t="shared" si="0"/>
        <v>2</v>
      </c>
      <c r="B5" s="5">
        <v>101</v>
      </c>
      <c r="C5" s="5" t="s">
        <v>39</v>
      </c>
      <c r="D5" s="6" t="s">
        <v>40</v>
      </c>
      <c r="E5" s="6" t="s">
        <v>45</v>
      </c>
      <c r="F5" s="6" t="s">
        <v>45</v>
      </c>
      <c r="G5" s="88" t="s">
        <v>42</v>
      </c>
      <c r="H5" s="5" t="s">
        <v>43</v>
      </c>
      <c r="I5" s="5" t="s">
        <v>43</v>
      </c>
      <c r="J5" s="5" t="s">
        <v>43</v>
      </c>
      <c r="K5" s="5"/>
      <c r="L5" s="5"/>
      <c r="M5" s="89" t="str">
        <f t="shared" si="1"/>
        <v>SPIC_JTTG_XXXX_XXXX_01项目管理类_101启动会材料_V1.0_20260106</v>
      </c>
      <c r="N5" s="90" t="s">
        <v>35</v>
      </c>
      <c r="O5" s="92" t="s">
        <v>43</v>
      </c>
      <c r="P5" s="92" t="s">
        <v>43</v>
      </c>
      <c r="Q5" s="92" t="s">
        <v>43</v>
      </c>
      <c r="R5" s="92" t="s">
        <v>43</v>
      </c>
      <c r="S5" s="92" t="s">
        <v>43</v>
      </c>
      <c r="T5" s="92" t="s">
        <v>43</v>
      </c>
      <c r="U5" s="92" t="s">
        <v>43</v>
      </c>
      <c r="V5" s="92" t="s">
        <v>43</v>
      </c>
      <c r="W5" s="92" t="s">
        <v>43</v>
      </c>
      <c r="X5" s="92" t="s">
        <v>43</v>
      </c>
      <c r="Y5" s="92" t="s">
        <v>43</v>
      </c>
      <c r="Z5" s="92" t="s">
        <v>43</v>
      </c>
      <c r="AA5" s="92" t="s">
        <v>43</v>
      </c>
      <c r="AB5" s="92" t="s">
        <v>43</v>
      </c>
      <c r="AC5" s="16"/>
      <c r="AD5" s="6" t="s">
        <v>44</v>
      </c>
      <c r="AE5" s="93">
        <v>1</v>
      </c>
      <c r="AF5" s="94"/>
    </row>
    <row r="6" customFormat="1" ht="23.1" customHeight="1" spans="1:33">
      <c r="A6" s="5">
        <f t="shared" si="0"/>
        <v>3</v>
      </c>
      <c r="B6" s="6">
        <v>102</v>
      </c>
      <c r="C6" s="5" t="s">
        <v>39</v>
      </c>
      <c r="D6" s="6" t="s">
        <v>40</v>
      </c>
      <c r="E6" s="95" t="s">
        <v>46</v>
      </c>
      <c r="F6" s="6" t="s">
        <v>47</v>
      </c>
      <c r="G6" s="6" t="s">
        <v>42</v>
      </c>
      <c r="H6" s="5" t="s">
        <v>43</v>
      </c>
      <c r="I6" s="5" t="s">
        <v>43</v>
      </c>
      <c r="J6" s="5" t="s">
        <v>43</v>
      </c>
      <c r="K6" s="5" t="s">
        <v>48</v>
      </c>
      <c r="L6" s="5" t="s">
        <v>48</v>
      </c>
      <c r="M6" s="89" t="str">
        <f t="shared" si="1"/>
        <v>SPIC_JTTG_XXXX_XXXX_01项目管理类_102项目里程碑计划_V1.0_20260106</v>
      </c>
      <c r="N6" s="90" t="s">
        <v>35</v>
      </c>
      <c r="O6" s="92" t="s">
        <v>49</v>
      </c>
      <c r="P6" s="92" t="s">
        <v>49</v>
      </c>
      <c r="Q6" s="92" t="s">
        <v>49</v>
      </c>
      <c r="R6" s="92" t="s">
        <v>49</v>
      </c>
      <c r="S6" s="92" t="s">
        <v>49</v>
      </c>
      <c r="T6" s="92" t="s">
        <v>49</v>
      </c>
      <c r="U6" s="92" t="s">
        <v>49</v>
      </c>
      <c r="V6" s="92" t="s">
        <v>49</v>
      </c>
      <c r="W6" s="92" t="s">
        <v>49</v>
      </c>
      <c r="X6" s="92" t="s">
        <v>49</v>
      </c>
      <c r="Y6" s="92" t="s">
        <v>49</v>
      </c>
      <c r="Z6" s="92" t="s">
        <v>49</v>
      </c>
      <c r="AA6" s="92" t="s">
        <v>49</v>
      </c>
      <c r="AB6" s="92" t="s">
        <v>43</v>
      </c>
      <c r="AC6" s="6"/>
      <c r="AD6" s="6" t="s">
        <v>50</v>
      </c>
      <c r="AE6" s="93">
        <v>0</v>
      </c>
      <c r="AF6" s="94"/>
    </row>
    <row r="7" ht="23.1" customHeight="1" spans="1:33">
      <c r="A7" s="5">
        <f t="shared" si="0"/>
        <v>4</v>
      </c>
      <c r="B7" s="5">
        <v>103</v>
      </c>
      <c r="C7" s="5" t="s">
        <v>39</v>
      </c>
      <c r="D7" s="6" t="s">
        <v>40</v>
      </c>
      <c r="E7" s="96"/>
      <c r="F7" s="6" t="s">
        <v>51</v>
      </c>
      <c r="G7" s="6" t="s">
        <v>52</v>
      </c>
      <c r="H7" s="5" t="s">
        <v>43</v>
      </c>
      <c r="I7" s="5" t="s">
        <v>43</v>
      </c>
      <c r="J7" s="5" t="s">
        <v>43</v>
      </c>
      <c r="K7" s="5"/>
      <c r="L7" s="5"/>
      <c r="M7" s="89" t="str">
        <f t="shared" si="1"/>
        <v>SPIC_JTTG_XXXX_XXXX_01项目管理类_103项目详细计划_V1.0_20260106</v>
      </c>
      <c r="N7" s="90" t="s">
        <v>35</v>
      </c>
      <c r="O7" s="92" t="s">
        <v>43</v>
      </c>
      <c r="P7" s="92" t="s">
        <v>43</v>
      </c>
      <c r="Q7" s="92" t="s">
        <v>43</v>
      </c>
      <c r="R7" s="92" t="s">
        <v>43</v>
      </c>
      <c r="S7" s="92" t="s">
        <v>43</v>
      </c>
      <c r="T7" s="92" t="s">
        <v>43</v>
      </c>
      <c r="U7" s="92" t="s">
        <v>43</v>
      </c>
      <c r="V7" s="92" t="s">
        <v>43</v>
      </c>
      <c r="W7" s="92" t="s">
        <v>43</v>
      </c>
      <c r="X7" s="92" t="s">
        <v>43</v>
      </c>
      <c r="Y7" s="92" t="s">
        <v>43</v>
      </c>
      <c r="Z7" s="92" t="s">
        <v>43</v>
      </c>
      <c r="AA7" s="92" t="s">
        <v>43</v>
      </c>
      <c r="AB7" s="92" t="s">
        <v>43</v>
      </c>
      <c r="AC7" s="16"/>
      <c r="AD7" s="6" t="s">
        <v>44</v>
      </c>
      <c r="AE7" s="93">
        <v>1</v>
      </c>
      <c r="AF7" s="94"/>
    </row>
    <row r="8" customFormat="1" ht="23.1" customHeight="1" spans="1:33">
      <c r="A8" s="5">
        <f t="shared" si="0"/>
        <v>5</v>
      </c>
      <c r="B8" s="6">
        <v>104</v>
      </c>
      <c r="C8" s="5" t="s">
        <v>39</v>
      </c>
      <c r="D8" s="6" t="s">
        <v>40</v>
      </c>
      <c r="E8" s="6" t="s">
        <v>53</v>
      </c>
      <c r="F8" s="6" t="s">
        <v>53</v>
      </c>
      <c r="G8" s="6" t="s">
        <v>42</v>
      </c>
      <c r="H8" s="5" t="s">
        <v>43</v>
      </c>
      <c r="I8" s="5" t="s">
        <v>43</v>
      </c>
      <c r="J8" s="5" t="s">
        <v>43</v>
      </c>
      <c r="K8" s="5"/>
      <c r="L8" s="5"/>
      <c r="M8" s="89" t="str">
        <f t="shared" si="1"/>
        <v>SPIC_JTTG_XXXX_XXXX_01项目管理类_104项目实施组组织架构_V1.0_20260106</v>
      </c>
      <c r="N8" s="90" t="s">
        <v>35</v>
      </c>
      <c r="O8" s="92" t="s">
        <v>49</v>
      </c>
      <c r="P8" s="92" t="s">
        <v>49</v>
      </c>
      <c r="Q8" s="92" t="s">
        <v>49</v>
      </c>
      <c r="R8" s="92" t="s">
        <v>49</v>
      </c>
      <c r="S8" s="92" t="s">
        <v>49</v>
      </c>
      <c r="T8" s="92" t="s">
        <v>49</v>
      </c>
      <c r="U8" s="92" t="s">
        <v>49</v>
      </c>
      <c r="V8" s="92" t="s">
        <v>49</v>
      </c>
      <c r="W8" s="92" t="s">
        <v>49</v>
      </c>
      <c r="X8" s="92" t="s">
        <v>49</v>
      </c>
      <c r="Y8" s="92" t="s">
        <v>49</v>
      </c>
      <c r="Z8" s="92" t="s">
        <v>49</v>
      </c>
      <c r="AA8" s="92" t="s">
        <v>49</v>
      </c>
      <c r="AB8" s="92" t="s">
        <v>43</v>
      </c>
      <c r="AC8" s="16"/>
      <c r="AD8" s="6" t="s">
        <v>44</v>
      </c>
      <c r="AE8" s="93">
        <v>1</v>
      </c>
      <c r="AF8" s="94"/>
    </row>
    <row r="9" ht="23.1" customHeight="1" spans="1:33">
      <c r="A9" s="5">
        <f t="shared" si="0"/>
        <v>6</v>
      </c>
      <c r="B9" s="5">
        <v>105</v>
      </c>
      <c r="C9" s="5" t="s">
        <v>39</v>
      </c>
      <c r="D9" s="6" t="s">
        <v>40</v>
      </c>
      <c r="E9" s="95" t="s">
        <v>54</v>
      </c>
      <c r="F9" s="6" t="s">
        <v>55</v>
      </c>
      <c r="G9" s="6" t="s">
        <v>52</v>
      </c>
      <c r="H9" s="5" t="s">
        <v>43</v>
      </c>
      <c r="I9" s="5" t="s">
        <v>43</v>
      </c>
      <c r="J9" s="5" t="s">
        <v>43</v>
      </c>
      <c r="K9" s="5"/>
      <c r="L9" s="5"/>
      <c r="M9" s="89" t="str">
        <f t="shared" si="1"/>
        <v>SPIC_JTTG_XXXX_XXXX_01项目管理类_105关键用户名单_V1.0_20260106</v>
      </c>
      <c r="N9" s="90" t="s">
        <v>56</v>
      </c>
      <c r="O9" s="92" t="s">
        <v>43</v>
      </c>
      <c r="P9" s="92" t="s">
        <v>43</v>
      </c>
      <c r="Q9" s="92" t="s">
        <v>43</v>
      </c>
      <c r="R9" s="92" t="s">
        <v>43</v>
      </c>
      <c r="S9" s="92" t="s">
        <v>43</v>
      </c>
      <c r="T9" s="92" t="s">
        <v>43</v>
      </c>
      <c r="U9" s="92" t="s">
        <v>43</v>
      </c>
      <c r="V9" s="92" t="s">
        <v>43</v>
      </c>
      <c r="W9" s="92" t="s">
        <v>43</v>
      </c>
      <c r="X9" s="92" t="s">
        <v>43</v>
      </c>
      <c r="Y9" s="92" t="s">
        <v>43</v>
      </c>
      <c r="Z9" s="92" t="s">
        <v>43</v>
      </c>
      <c r="AA9" s="92" t="s">
        <v>43</v>
      </c>
      <c r="AB9" s="92"/>
      <c r="AC9" s="16"/>
      <c r="AD9" s="6" t="s">
        <v>44</v>
      </c>
      <c r="AE9" s="93">
        <v>1</v>
      </c>
      <c r="AF9" s="94"/>
    </row>
    <row r="10" ht="23.1" customHeight="1" spans="1:33">
      <c r="A10" s="5">
        <f t="shared" si="0"/>
        <v>7</v>
      </c>
      <c r="B10" s="6">
        <v>106</v>
      </c>
      <c r="C10" s="5" t="s">
        <v>39</v>
      </c>
      <c r="D10" s="6" t="s">
        <v>40</v>
      </c>
      <c r="E10" s="96"/>
      <c r="F10" s="97" t="s">
        <v>57</v>
      </c>
      <c r="G10" s="6" t="s">
        <v>52</v>
      </c>
      <c r="H10" s="5" t="s">
        <v>43</v>
      </c>
      <c r="I10" s="5" t="s">
        <v>43</v>
      </c>
      <c r="J10" s="5" t="s">
        <v>43</v>
      </c>
      <c r="K10" s="5" t="s">
        <v>48</v>
      </c>
      <c r="L10" s="5" t="s">
        <v>48</v>
      </c>
      <c r="M10" s="89" t="str">
        <f t="shared" si="1"/>
        <v>SPIC_JTTG_XXXX_XXXX_01项目管理类_106项目通讯录_V1.0_20260106</v>
      </c>
      <c r="N10" s="90" t="s">
        <v>35</v>
      </c>
      <c r="O10" s="92" t="s">
        <v>43</v>
      </c>
      <c r="P10" s="92" t="s">
        <v>43</v>
      </c>
      <c r="Q10" s="92" t="s">
        <v>43</v>
      </c>
      <c r="R10" s="92" t="s">
        <v>43</v>
      </c>
      <c r="S10" s="92" t="s">
        <v>43</v>
      </c>
      <c r="T10" s="92" t="s">
        <v>43</v>
      </c>
      <c r="U10" s="92" t="s">
        <v>43</v>
      </c>
      <c r="V10" s="92" t="s">
        <v>43</v>
      </c>
      <c r="W10" s="92" t="s">
        <v>43</v>
      </c>
      <c r="X10" s="92" t="s">
        <v>43</v>
      </c>
      <c r="Y10" s="92" t="s">
        <v>43</v>
      </c>
      <c r="Z10" s="92" t="s">
        <v>43</v>
      </c>
      <c r="AA10" s="92" t="s">
        <v>43</v>
      </c>
      <c r="AB10" s="92" t="s">
        <v>43</v>
      </c>
      <c r="AC10" s="16"/>
      <c r="AD10" s="6" t="s">
        <v>44</v>
      </c>
      <c r="AE10" s="93">
        <v>1</v>
      </c>
      <c r="AF10" s="94"/>
    </row>
    <row r="11" ht="23.1" customHeight="1" spans="1:33">
      <c r="A11" s="5">
        <f t="shared" si="0"/>
        <v>8</v>
      </c>
      <c r="B11" s="5">
        <v>107</v>
      </c>
      <c r="C11" s="5" t="s">
        <v>39</v>
      </c>
      <c r="D11" s="6" t="s">
        <v>58</v>
      </c>
      <c r="E11" s="95" t="s">
        <v>59</v>
      </c>
      <c r="F11" s="6" t="s">
        <v>60</v>
      </c>
      <c r="G11" s="6" t="s">
        <v>52</v>
      </c>
      <c r="H11" s="5" t="s">
        <v>43</v>
      </c>
      <c r="I11" s="5"/>
      <c r="J11" s="5" t="s">
        <v>43</v>
      </c>
      <c r="K11" s="5"/>
      <c r="L11" s="5"/>
      <c r="M11" s="89" t="str">
        <f t="shared" si="1"/>
        <v>SPIC_JTTG_XXXX_XXXX_05人员培训类_107关键用户入场培训计划_V1.0_20260106</v>
      </c>
      <c r="N11" s="90" t="s">
        <v>35</v>
      </c>
      <c r="O11" s="92" t="s">
        <v>43</v>
      </c>
      <c r="P11" s="92" t="s">
        <v>43</v>
      </c>
      <c r="Q11" s="92" t="s">
        <v>43</v>
      </c>
      <c r="R11" s="92" t="s">
        <v>43</v>
      </c>
      <c r="S11" s="92" t="s">
        <v>43</v>
      </c>
      <c r="T11" s="92" t="s">
        <v>43</v>
      </c>
      <c r="U11" s="92" t="s">
        <v>43</v>
      </c>
      <c r="V11" s="92" t="s">
        <v>43</v>
      </c>
      <c r="W11" s="92" t="s">
        <v>43</v>
      </c>
      <c r="X11" s="92" t="s">
        <v>43</v>
      </c>
      <c r="Y11" s="92" t="s">
        <v>43</v>
      </c>
      <c r="Z11" s="92" t="s">
        <v>43</v>
      </c>
      <c r="AA11" s="92" t="s">
        <v>43</v>
      </c>
      <c r="AB11" s="92" t="s">
        <v>43</v>
      </c>
      <c r="AC11" s="16"/>
      <c r="AD11" s="6" t="s">
        <v>44</v>
      </c>
      <c r="AE11" s="93">
        <v>1</v>
      </c>
      <c r="AF11" s="94"/>
    </row>
    <row r="12" ht="23.1" customHeight="1" spans="1:33">
      <c r="A12" s="5">
        <f t="shared" si="0"/>
        <v>9</v>
      </c>
      <c r="B12" s="6">
        <v>108</v>
      </c>
      <c r="C12" s="5" t="s">
        <v>39</v>
      </c>
      <c r="D12" s="6" t="s">
        <v>58</v>
      </c>
      <c r="E12" s="96"/>
      <c r="F12" s="6" t="s">
        <v>61</v>
      </c>
      <c r="G12" s="6" t="s">
        <v>52</v>
      </c>
      <c r="H12" s="5" t="s">
        <v>43</v>
      </c>
      <c r="I12" s="5"/>
      <c r="J12" s="5" t="s">
        <v>43</v>
      </c>
      <c r="K12" s="5"/>
      <c r="L12" s="5"/>
      <c r="M12" s="89" t="str">
        <f t="shared" si="1"/>
        <v>SPIC_JTTG_XXXX_XXXX_05人员培训类_108实施顾问入场培训计划_V1.0_20260106</v>
      </c>
      <c r="N12" s="90" t="s">
        <v>35</v>
      </c>
      <c r="O12" s="92" t="s">
        <v>43</v>
      </c>
      <c r="P12" s="92" t="s">
        <v>43</v>
      </c>
      <c r="Q12" s="92" t="s">
        <v>43</v>
      </c>
      <c r="R12" s="92" t="s">
        <v>43</v>
      </c>
      <c r="S12" s="92" t="s">
        <v>43</v>
      </c>
      <c r="T12" s="92" t="s">
        <v>43</v>
      </c>
      <c r="U12" s="92" t="s">
        <v>43</v>
      </c>
      <c r="V12" s="92" t="s">
        <v>43</v>
      </c>
      <c r="W12" s="92" t="s">
        <v>43</v>
      </c>
      <c r="X12" s="92" t="s">
        <v>43</v>
      </c>
      <c r="Y12" s="92" t="s">
        <v>43</v>
      </c>
      <c r="Z12" s="92" t="s">
        <v>43</v>
      </c>
      <c r="AA12" s="92" t="s">
        <v>43</v>
      </c>
      <c r="AB12" s="92" t="s">
        <v>43</v>
      </c>
      <c r="AC12" s="16"/>
      <c r="AD12" s="6" t="s">
        <v>44</v>
      </c>
      <c r="AE12" s="93">
        <v>1</v>
      </c>
      <c r="AF12" s="94"/>
    </row>
    <row r="13" ht="23.1" customHeight="1" spans="1:33">
      <c r="A13" s="5">
        <f t="shared" si="0"/>
        <v>10</v>
      </c>
      <c r="B13" s="5">
        <v>109</v>
      </c>
      <c r="C13" s="5" t="s">
        <v>39</v>
      </c>
      <c r="D13" s="6" t="s">
        <v>58</v>
      </c>
      <c r="E13" s="95" t="s">
        <v>62</v>
      </c>
      <c r="F13" s="6" t="s">
        <v>63</v>
      </c>
      <c r="G13" s="6" t="s">
        <v>42</v>
      </c>
      <c r="H13" s="5" t="s">
        <v>43</v>
      </c>
      <c r="I13" s="5"/>
      <c r="J13" s="5" t="s">
        <v>43</v>
      </c>
      <c r="K13" s="5" t="s">
        <v>48</v>
      </c>
      <c r="L13" s="5" t="s">
        <v>48</v>
      </c>
      <c r="M13" s="89" t="str">
        <f t="shared" si="1"/>
        <v>SPIC_JTTG_XXXX_XXXX_05人员培训类_109关键用户入场培训材料_V1.0_20260106</v>
      </c>
      <c r="N13" s="90" t="s">
        <v>35</v>
      </c>
      <c r="O13" s="92" t="s">
        <v>43</v>
      </c>
      <c r="P13" s="92" t="s">
        <v>43</v>
      </c>
      <c r="Q13" s="92" t="s">
        <v>43</v>
      </c>
      <c r="R13" s="92" t="s">
        <v>43</v>
      </c>
      <c r="S13" s="92" t="s">
        <v>43</v>
      </c>
      <c r="T13" s="92" t="s">
        <v>43</v>
      </c>
      <c r="U13" s="92" t="s">
        <v>43</v>
      </c>
      <c r="V13" s="92" t="s">
        <v>43</v>
      </c>
      <c r="W13" s="92" t="s">
        <v>43</v>
      </c>
      <c r="X13" s="92" t="s">
        <v>43</v>
      </c>
      <c r="Y13" s="92" t="s">
        <v>43</v>
      </c>
      <c r="Z13" s="92" t="s">
        <v>43</v>
      </c>
      <c r="AA13" s="92" t="s">
        <v>43</v>
      </c>
      <c r="AB13" s="92" t="s">
        <v>43</v>
      </c>
      <c r="AC13" s="16"/>
      <c r="AD13" s="6" t="s">
        <v>44</v>
      </c>
      <c r="AE13" s="93">
        <v>1</v>
      </c>
      <c r="AF13" s="94"/>
    </row>
    <row r="14" ht="23.1" customHeight="1" spans="1:33">
      <c r="A14" s="5">
        <f t="shared" si="0"/>
        <v>11</v>
      </c>
      <c r="B14" s="6">
        <v>110</v>
      </c>
      <c r="C14" s="5" t="s">
        <v>39</v>
      </c>
      <c r="D14" s="6" t="s">
        <v>58</v>
      </c>
      <c r="E14" s="96"/>
      <c r="F14" s="6" t="s">
        <v>64</v>
      </c>
      <c r="G14" s="88" t="s">
        <v>65</v>
      </c>
      <c r="H14" s="5" t="s">
        <v>43</v>
      </c>
      <c r="I14" s="5"/>
      <c r="J14" s="5" t="s">
        <v>43</v>
      </c>
      <c r="K14" s="5"/>
      <c r="L14" s="5"/>
      <c r="M14" s="89" t="str">
        <f t="shared" si="1"/>
        <v>SPIC_JTTG_XXXX_XXXX_05人员培训类_110实施顾问入场培训材料_V1.0_20260106</v>
      </c>
      <c r="N14" s="90" t="s">
        <v>35</v>
      </c>
      <c r="O14" s="92" t="s">
        <v>43</v>
      </c>
      <c r="P14" s="92" t="s">
        <v>43</v>
      </c>
      <c r="Q14" s="92" t="s">
        <v>43</v>
      </c>
      <c r="R14" s="92" t="s">
        <v>43</v>
      </c>
      <c r="S14" s="92" t="s">
        <v>43</v>
      </c>
      <c r="T14" s="92" t="s">
        <v>43</v>
      </c>
      <c r="U14" s="92" t="s">
        <v>43</v>
      </c>
      <c r="V14" s="92" t="s">
        <v>43</v>
      </c>
      <c r="W14" s="92" t="s">
        <v>43</v>
      </c>
      <c r="X14" s="92" t="s">
        <v>43</v>
      </c>
      <c r="Y14" s="92" t="s">
        <v>43</v>
      </c>
      <c r="Z14" s="92" t="s">
        <v>43</v>
      </c>
      <c r="AA14" s="92" t="s">
        <v>43</v>
      </c>
      <c r="AB14" s="92" t="s">
        <v>43</v>
      </c>
      <c r="AC14" s="16"/>
      <c r="AD14" s="6" t="s">
        <v>44</v>
      </c>
      <c r="AE14" s="93">
        <v>1</v>
      </c>
      <c r="AF14" s="94"/>
    </row>
    <row r="15" ht="23.1" customHeight="1" spans="1:33">
      <c r="A15" s="5">
        <f t="shared" si="0"/>
        <v>12</v>
      </c>
      <c r="B15" s="5">
        <v>111</v>
      </c>
      <c r="C15" s="5" t="s">
        <v>39</v>
      </c>
      <c r="D15" s="6" t="s">
        <v>58</v>
      </c>
      <c r="E15" s="6" t="s">
        <v>66</v>
      </c>
      <c r="F15" s="6" t="s">
        <v>66</v>
      </c>
      <c r="G15" s="88" t="s">
        <v>67</v>
      </c>
      <c r="H15" s="5" t="s">
        <v>43</v>
      </c>
      <c r="I15" s="5"/>
      <c r="J15" s="5" t="s">
        <v>43</v>
      </c>
      <c r="K15" s="5"/>
      <c r="L15" s="5"/>
      <c r="M15" s="89" t="str">
        <f t="shared" si="1"/>
        <v>SPIC_JTTG_XXXX_XXXX_05人员培训类_111入场培训签到表_V1.0_20260106</v>
      </c>
      <c r="N15" s="98" t="s">
        <v>35</v>
      </c>
      <c r="O15" s="92" t="s">
        <v>43</v>
      </c>
      <c r="P15" s="92" t="s">
        <v>43</v>
      </c>
      <c r="Q15" s="92" t="s">
        <v>43</v>
      </c>
      <c r="R15" s="92" t="s">
        <v>43</v>
      </c>
      <c r="S15" s="92" t="s">
        <v>43</v>
      </c>
      <c r="T15" s="92" t="s">
        <v>43</v>
      </c>
      <c r="U15" s="92" t="s">
        <v>43</v>
      </c>
      <c r="V15" s="92" t="s">
        <v>43</v>
      </c>
      <c r="W15" s="92" t="s">
        <v>43</v>
      </c>
      <c r="X15" s="92" t="s">
        <v>43</v>
      </c>
      <c r="Y15" s="92" t="s">
        <v>43</v>
      </c>
      <c r="Z15" s="92" t="s">
        <v>43</v>
      </c>
      <c r="AA15" s="92" t="s">
        <v>43</v>
      </c>
      <c r="AB15" s="92" t="s">
        <v>49</v>
      </c>
      <c r="AC15" s="16"/>
      <c r="AD15" s="6" t="s">
        <v>44</v>
      </c>
      <c r="AE15" s="93">
        <v>1</v>
      </c>
      <c r="AF15" s="94"/>
    </row>
    <row r="16" ht="23.1" customHeight="1" spans="1:33">
      <c r="A16" s="5">
        <f t="shared" si="0"/>
        <v>13</v>
      </c>
      <c r="B16" s="5">
        <v>200</v>
      </c>
      <c r="C16" s="6" t="s">
        <v>68</v>
      </c>
      <c r="D16" s="6" t="s">
        <v>69</v>
      </c>
      <c r="E16" s="6" t="s">
        <v>70</v>
      </c>
      <c r="F16" s="6" t="s">
        <v>70</v>
      </c>
      <c r="G16" s="88" t="s">
        <v>52</v>
      </c>
      <c r="H16" s="5" t="s">
        <v>43</v>
      </c>
      <c r="I16" s="5"/>
      <c r="J16" s="5"/>
      <c r="K16" s="5"/>
      <c r="L16" s="5"/>
      <c r="M16" s="89" t="str">
        <f t="shared" si="1"/>
        <v>SPIC_JTTG_XXXX_XXXX_02系统实施类_200总体共性需求清单_V1.0_20260106</v>
      </c>
      <c r="N16" s="98" t="s">
        <v>35</v>
      </c>
      <c r="O16" s="92" t="s">
        <v>43</v>
      </c>
      <c r="P16" s="92" t="s">
        <v>43</v>
      </c>
      <c r="Q16" s="92" t="s">
        <v>43</v>
      </c>
      <c r="R16" s="92" t="s">
        <v>43</v>
      </c>
      <c r="S16" s="92" t="s">
        <v>43</v>
      </c>
      <c r="T16" s="92" t="s">
        <v>43</v>
      </c>
      <c r="U16" s="92" t="s">
        <v>43</v>
      </c>
      <c r="V16" s="92" t="s">
        <v>43</v>
      </c>
      <c r="W16" s="92" t="s">
        <v>43</v>
      </c>
      <c r="X16" s="92" t="s">
        <v>43</v>
      </c>
      <c r="Y16" s="92" t="s">
        <v>43</v>
      </c>
      <c r="Z16" s="92" t="s">
        <v>49</v>
      </c>
      <c r="AA16" s="92"/>
      <c r="AB16" s="92" t="s">
        <v>49</v>
      </c>
      <c r="AC16" s="16"/>
      <c r="AD16" s="6" t="s">
        <v>44</v>
      </c>
      <c r="AE16" s="93">
        <v>1</v>
      </c>
      <c r="AF16" s="99" t="s">
        <v>71</v>
      </c>
      <c r="AG16" s="26" t="s">
        <v>72</v>
      </c>
    </row>
    <row r="17" ht="23.1" customHeight="1" spans="1:33">
      <c r="A17" s="5">
        <f t="shared" si="0"/>
        <v>14</v>
      </c>
      <c r="B17" s="5">
        <v>201</v>
      </c>
      <c r="C17" s="6" t="s">
        <v>68</v>
      </c>
      <c r="D17" s="6" t="s">
        <v>69</v>
      </c>
      <c r="E17" s="6" t="s">
        <v>73</v>
      </c>
      <c r="F17" s="6" t="s">
        <v>73</v>
      </c>
      <c r="G17" s="88" t="s">
        <v>67</v>
      </c>
      <c r="H17" s="5" t="s">
        <v>43</v>
      </c>
      <c r="I17" s="92"/>
      <c r="J17" s="92"/>
      <c r="K17" s="92"/>
      <c r="L17" s="92"/>
      <c r="M17" s="89" t="str">
        <f t="shared" si="1"/>
        <v>SPIC_JTTG_XXXX_XXXX_02系统实施类_201集团实施组差异分析报告_V1.0_20260106</v>
      </c>
      <c r="N17" s="98" t="s">
        <v>35</v>
      </c>
      <c r="O17" s="92" t="s">
        <v>43</v>
      </c>
      <c r="P17" s="92" t="s">
        <v>43</v>
      </c>
      <c r="Q17" s="92" t="s">
        <v>43</v>
      </c>
      <c r="R17" s="92" t="s">
        <v>43</v>
      </c>
      <c r="S17" s="92" t="s">
        <v>43</v>
      </c>
      <c r="T17" s="92" t="s">
        <v>43</v>
      </c>
      <c r="U17" s="92" t="s">
        <v>43</v>
      </c>
      <c r="V17" s="92" t="s">
        <v>43</v>
      </c>
      <c r="W17" s="92" t="s">
        <v>43</v>
      </c>
      <c r="X17" s="92" t="s">
        <v>43</v>
      </c>
      <c r="Y17" s="92" t="s">
        <v>43</v>
      </c>
      <c r="Z17" s="92"/>
      <c r="AA17" s="92"/>
      <c r="AB17" s="92" t="s">
        <v>49</v>
      </c>
      <c r="AC17" s="16"/>
      <c r="AD17" s="6" t="s">
        <v>44</v>
      </c>
      <c r="AE17" s="93">
        <v>1</v>
      </c>
      <c r="AF17" s="99" t="s">
        <v>71</v>
      </c>
      <c r="AG17" s="26" t="s">
        <v>72</v>
      </c>
    </row>
    <row r="18" s="64" customFormat="1" ht="23.1" customHeight="1" spans="1:33">
      <c r="A18" s="92">
        <f t="shared" si="0"/>
        <v>15</v>
      </c>
      <c r="B18" s="92">
        <v>202</v>
      </c>
      <c r="C18" s="97" t="s">
        <v>68</v>
      </c>
      <c r="D18" s="97" t="s">
        <v>69</v>
      </c>
      <c r="E18" s="97" t="s">
        <v>74</v>
      </c>
      <c r="F18" s="97" t="s">
        <v>74</v>
      </c>
      <c r="G18" s="90" t="s">
        <v>42</v>
      </c>
      <c r="H18" s="5" t="s">
        <v>43</v>
      </c>
      <c r="I18" s="92"/>
      <c r="J18" s="92"/>
      <c r="K18" s="92"/>
      <c r="L18" s="92"/>
      <c r="M18" s="100" t="str">
        <f t="shared" si="1"/>
        <v>SPIC_JTTG_XXXX_XXXX_02系统实施类_202集团实施组蓝图及详细设计方案_V1.0_20260106</v>
      </c>
      <c r="N18" s="98" t="s">
        <v>35</v>
      </c>
      <c r="O18" s="92" t="s">
        <v>43</v>
      </c>
      <c r="P18" s="92" t="s">
        <v>43</v>
      </c>
      <c r="Q18" s="92" t="s">
        <v>43</v>
      </c>
      <c r="R18" s="92" t="s">
        <v>43</v>
      </c>
      <c r="S18" s="92" t="s">
        <v>43</v>
      </c>
      <c r="T18" s="92" t="s">
        <v>43</v>
      </c>
      <c r="U18" s="92" t="s">
        <v>43</v>
      </c>
      <c r="V18" s="92" t="s">
        <v>43</v>
      </c>
      <c r="W18" s="92" t="s">
        <v>43</v>
      </c>
      <c r="X18" s="92" t="s">
        <v>43</v>
      </c>
      <c r="Y18" s="92" t="s">
        <v>43</v>
      </c>
      <c r="Z18" s="92"/>
      <c r="AA18" s="92"/>
      <c r="AB18" s="92" t="s">
        <v>49</v>
      </c>
      <c r="AC18" s="101"/>
      <c r="AD18" s="97" t="s">
        <v>44</v>
      </c>
      <c r="AE18" s="102">
        <v>2</v>
      </c>
      <c r="AF18" s="103" t="s">
        <v>75</v>
      </c>
    </row>
    <row r="19" ht="23.1" customHeight="1" spans="1:33">
      <c r="A19" s="5">
        <f t="shared" si="0"/>
        <v>16</v>
      </c>
      <c r="B19" s="5">
        <v>203</v>
      </c>
      <c r="C19" s="6" t="s">
        <v>68</v>
      </c>
      <c r="D19" s="6" t="s">
        <v>69</v>
      </c>
      <c r="E19" s="97" t="s">
        <v>76</v>
      </c>
      <c r="F19" s="97" t="s">
        <v>76</v>
      </c>
      <c r="G19" s="88" t="s">
        <v>77</v>
      </c>
      <c r="H19" s="5" t="s">
        <v>43</v>
      </c>
      <c r="I19" s="92"/>
      <c r="J19" s="92"/>
      <c r="K19" s="92"/>
      <c r="L19" s="92"/>
      <c r="M19" s="89" t="str">
        <f t="shared" si="1"/>
        <v>SPIC_JTTG_XXXX_XXXX_02系统实施类_203集团实施组流程图_V1.0_20260106</v>
      </c>
      <c r="N19" s="98" t="s">
        <v>35</v>
      </c>
      <c r="O19" s="92" t="s">
        <v>43</v>
      </c>
      <c r="P19" s="92" t="s">
        <v>43</v>
      </c>
      <c r="Q19" s="92" t="s">
        <v>43</v>
      </c>
      <c r="R19" s="92" t="s">
        <v>43</v>
      </c>
      <c r="S19" s="92" t="s">
        <v>43</v>
      </c>
      <c r="T19" s="92" t="s">
        <v>43</v>
      </c>
      <c r="U19" s="92" t="s">
        <v>43</v>
      </c>
      <c r="V19" s="92" t="s">
        <v>43</v>
      </c>
      <c r="W19" s="92" t="s">
        <v>43</v>
      </c>
      <c r="X19" s="92" t="s">
        <v>43</v>
      </c>
      <c r="Y19" s="92" t="s">
        <v>43</v>
      </c>
      <c r="Z19" s="92" t="s">
        <v>49</v>
      </c>
      <c r="AA19" s="92"/>
      <c r="AB19" s="92" t="s">
        <v>49</v>
      </c>
      <c r="AC19" s="16"/>
      <c r="AD19" s="6" t="s">
        <v>44</v>
      </c>
      <c r="AE19" s="93">
        <v>2</v>
      </c>
      <c r="AF19" s="99" t="s">
        <v>78</v>
      </c>
      <c r="AG19" s="26" t="s">
        <v>79</v>
      </c>
    </row>
    <row r="20" ht="23.1" customHeight="1" spans="1:33">
      <c r="A20" s="5">
        <f t="shared" si="0"/>
        <v>17</v>
      </c>
      <c r="B20" s="5">
        <v>204</v>
      </c>
      <c r="C20" s="6" t="s">
        <v>68</v>
      </c>
      <c r="D20" s="6" t="s">
        <v>69</v>
      </c>
      <c r="E20" s="97" t="s">
        <v>80</v>
      </c>
      <c r="F20" s="97" t="s">
        <v>80</v>
      </c>
      <c r="G20" s="88" t="s">
        <v>42</v>
      </c>
      <c r="H20" s="5" t="s">
        <v>43</v>
      </c>
      <c r="I20" s="92"/>
      <c r="J20" s="92"/>
      <c r="K20" s="92"/>
      <c r="L20" s="92"/>
      <c r="M20" s="89" t="str">
        <f t="shared" si="1"/>
        <v>SPIC_JTTG_XXXX_XXXX_02系统实施类_204集团实施组专题方案_V1.0_20260106</v>
      </c>
      <c r="N20" s="98" t="s">
        <v>35</v>
      </c>
      <c r="O20" s="92" t="s">
        <v>43</v>
      </c>
      <c r="P20" s="92" t="s">
        <v>43</v>
      </c>
      <c r="Q20" s="92" t="s">
        <v>43</v>
      </c>
      <c r="R20" s="92" t="s">
        <v>43</v>
      </c>
      <c r="S20" s="92" t="s">
        <v>43</v>
      </c>
      <c r="T20" s="92" t="s">
        <v>43</v>
      </c>
      <c r="U20" s="92" t="s">
        <v>43</v>
      </c>
      <c r="V20" s="92" t="s">
        <v>43</v>
      </c>
      <c r="W20" s="92" t="s">
        <v>43</v>
      </c>
      <c r="X20" s="92" t="s">
        <v>43</v>
      </c>
      <c r="Y20" s="92" t="s">
        <v>43</v>
      </c>
      <c r="Z20" s="92"/>
      <c r="AA20" s="92"/>
      <c r="AB20" s="92" t="s">
        <v>49</v>
      </c>
      <c r="AC20" s="16"/>
      <c r="AD20" s="6" t="s">
        <v>44</v>
      </c>
      <c r="AE20" s="93">
        <v>1</v>
      </c>
      <c r="AF20" s="103" t="s">
        <v>75</v>
      </c>
    </row>
    <row r="21" ht="23.1" customHeight="1" spans="1:33">
      <c r="A21" s="5">
        <f t="shared" si="0"/>
        <v>18</v>
      </c>
      <c r="B21" s="5">
        <v>205</v>
      </c>
      <c r="C21" s="6" t="s">
        <v>68</v>
      </c>
      <c r="D21" s="6" t="s">
        <v>69</v>
      </c>
      <c r="E21" s="97" t="s">
        <v>81</v>
      </c>
      <c r="F21" s="97" t="s">
        <v>81</v>
      </c>
      <c r="G21" s="88" t="s">
        <v>42</v>
      </c>
      <c r="H21" s="5" t="s">
        <v>43</v>
      </c>
      <c r="I21" s="92"/>
      <c r="J21" s="92"/>
      <c r="K21" s="92"/>
      <c r="L21" s="92"/>
      <c r="M21" s="89" t="str">
        <f t="shared" si="1"/>
        <v>SPIC_JTTG_XXXX_XXXX_02系统实施类_205统建系统集成方案_V1.0_20260106</v>
      </c>
      <c r="N21" s="90" t="s">
        <v>82</v>
      </c>
      <c r="O21" s="92" t="s">
        <v>49</v>
      </c>
      <c r="P21" s="92" t="s">
        <v>49</v>
      </c>
      <c r="Q21" s="92" t="s">
        <v>49</v>
      </c>
      <c r="R21" s="92" t="s">
        <v>49</v>
      </c>
      <c r="S21" s="92" t="s">
        <v>49</v>
      </c>
      <c r="T21" s="92" t="s">
        <v>49</v>
      </c>
      <c r="U21" s="92" t="s">
        <v>49</v>
      </c>
      <c r="V21" s="92" t="s">
        <v>49</v>
      </c>
      <c r="W21" s="92" t="s">
        <v>49</v>
      </c>
      <c r="X21" s="92" t="s">
        <v>49</v>
      </c>
      <c r="Y21" s="92" t="s">
        <v>49</v>
      </c>
      <c r="Z21" s="92" t="s">
        <v>43</v>
      </c>
      <c r="AA21" s="92"/>
      <c r="AB21" s="92" t="s">
        <v>49</v>
      </c>
      <c r="AC21" s="16"/>
      <c r="AD21" s="6" t="s">
        <v>44</v>
      </c>
      <c r="AE21" s="93">
        <v>1</v>
      </c>
      <c r="AF21" s="103" t="s">
        <v>75</v>
      </c>
    </row>
    <row r="22" customFormat="1" ht="23.1" customHeight="1" spans="1:33">
      <c r="A22" s="5">
        <f t="shared" si="0"/>
        <v>19</v>
      </c>
      <c r="B22" s="5">
        <v>206</v>
      </c>
      <c r="C22" s="6" t="s">
        <v>68</v>
      </c>
      <c r="D22" s="6" t="s">
        <v>69</v>
      </c>
      <c r="E22" s="97" t="s">
        <v>83</v>
      </c>
      <c r="F22" s="97" t="s">
        <v>83</v>
      </c>
      <c r="G22" s="88" t="s">
        <v>52</v>
      </c>
      <c r="H22" s="92" t="s">
        <v>49</v>
      </c>
      <c r="I22" s="92" t="s">
        <v>43</v>
      </c>
      <c r="J22" s="92"/>
      <c r="K22" s="92"/>
      <c r="L22" s="92"/>
      <c r="M22" s="89" t="str">
        <f t="shared" si="1"/>
        <v>SPIC_JTTG_XXXX_XXXX_02系统实施类_206业态共性需求清单_V1.0_20260106</v>
      </c>
      <c r="N22" s="98" t="s">
        <v>35</v>
      </c>
      <c r="O22" s="92" t="s">
        <v>43</v>
      </c>
      <c r="P22" s="92" t="s">
        <v>43</v>
      </c>
      <c r="Q22" s="92" t="s">
        <v>43</v>
      </c>
      <c r="R22" s="92" t="s">
        <v>43</v>
      </c>
      <c r="S22" s="92" t="s">
        <v>43</v>
      </c>
      <c r="T22" s="92" t="s">
        <v>43</v>
      </c>
      <c r="U22" s="92" t="s">
        <v>43</v>
      </c>
      <c r="V22" s="92" t="s">
        <v>43</v>
      </c>
      <c r="W22" s="92" t="s">
        <v>43</v>
      </c>
      <c r="X22" s="92" t="s">
        <v>43</v>
      </c>
      <c r="Y22" s="92" t="s">
        <v>43</v>
      </c>
      <c r="Z22" s="92"/>
      <c r="AA22" s="92"/>
      <c r="AB22" s="92" t="s">
        <v>49</v>
      </c>
      <c r="AC22" s="16"/>
      <c r="AD22" s="6" t="s">
        <v>44</v>
      </c>
      <c r="AE22" s="93">
        <v>1</v>
      </c>
      <c r="AF22" s="99" t="s">
        <v>71</v>
      </c>
      <c r="AG22" s="26" t="s">
        <v>84</v>
      </c>
    </row>
    <row r="23" ht="23.1" customHeight="1" spans="1:33">
      <c r="A23" s="5">
        <f t="shared" si="0"/>
        <v>20</v>
      </c>
      <c r="B23" s="5">
        <v>207</v>
      </c>
      <c r="C23" s="6" t="s">
        <v>68</v>
      </c>
      <c r="D23" s="6" t="s">
        <v>69</v>
      </c>
      <c r="E23" s="97" t="s">
        <v>85</v>
      </c>
      <c r="F23" s="97" t="s">
        <v>85</v>
      </c>
      <c r="G23" s="88" t="s">
        <v>67</v>
      </c>
      <c r="H23" s="92" t="s">
        <v>49</v>
      </c>
      <c r="I23" s="92" t="s">
        <v>43</v>
      </c>
      <c r="J23" s="92"/>
      <c r="K23" s="92"/>
      <c r="L23" s="92"/>
      <c r="M23" s="89" t="str">
        <f t="shared" si="1"/>
        <v>SPIC_JTTG_XXXX_XXXX_02系统实施类_207业态差异分析报告_V1.0_20260106</v>
      </c>
      <c r="N23" s="98" t="s">
        <v>35</v>
      </c>
      <c r="O23" s="92" t="s">
        <v>43</v>
      </c>
      <c r="P23" s="92" t="s">
        <v>43</v>
      </c>
      <c r="Q23" s="92" t="s">
        <v>43</v>
      </c>
      <c r="R23" s="92" t="s">
        <v>43</v>
      </c>
      <c r="S23" s="92" t="s">
        <v>43</v>
      </c>
      <c r="T23" s="92" t="s">
        <v>43</v>
      </c>
      <c r="U23" s="92" t="s">
        <v>43</v>
      </c>
      <c r="V23" s="92" t="s">
        <v>43</v>
      </c>
      <c r="W23" s="92" t="s">
        <v>43</v>
      </c>
      <c r="X23" s="92" t="s">
        <v>43</v>
      </c>
      <c r="Y23" s="92" t="s">
        <v>43</v>
      </c>
      <c r="Z23" s="92"/>
      <c r="AA23" s="92"/>
      <c r="AB23" s="92" t="s">
        <v>49</v>
      </c>
      <c r="AC23" s="16"/>
      <c r="AD23" s="6" t="s">
        <v>44</v>
      </c>
      <c r="AE23" s="93">
        <v>1</v>
      </c>
      <c r="AF23" s="99" t="s">
        <v>71</v>
      </c>
      <c r="AG23" s="26" t="s">
        <v>84</v>
      </c>
    </row>
    <row r="24" s="64" customFormat="1" ht="23.1" customHeight="1" spans="1:33">
      <c r="A24" s="92">
        <f t="shared" si="0"/>
        <v>21</v>
      </c>
      <c r="B24" s="92">
        <v>208</v>
      </c>
      <c r="C24" s="97" t="s">
        <v>68</v>
      </c>
      <c r="D24" s="97" t="s">
        <v>69</v>
      </c>
      <c r="E24" s="97" t="s">
        <v>86</v>
      </c>
      <c r="F24" s="97" t="s">
        <v>86</v>
      </c>
      <c r="G24" s="90" t="s">
        <v>42</v>
      </c>
      <c r="H24" s="92" t="s">
        <v>49</v>
      </c>
      <c r="I24" s="92" t="s">
        <v>43</v>
      </c>
      <c r="J24" s="92"/>
      <c r="K24" s="92"/>
      <c r="L24" s="92"/>
      <c r="M24" s="100" t="str">
        <f t="shared" si="1"/>
        <v>SPIC_JTTG_XXXX_XXXX_02系统实施类_208业态蓝图及详细设计方案_V1.0_20260106</v>
      </c>
      <c r="N24" s="98" t="s">
        <v>35</v>
      </c>
      <c r="O24" s="92" t="s">
        <v>43</v>
      </c>
      <c r="P24" s="92" t="s">
        <v>43</v>
      </c>
      <c r="Q24" s="92" t="s">
        <v>43</v>
      </c>
      <c r="R24" s="92" t="s">
        <v>43</v>
      </c>
      <c r="S24" s="92" t="s">
        <v>43</v>
      </c>
      <c r="T24" s="92" t="s">
        <v>43</v>
      </c>
      <c r="U24" s="92" t="s">
        <v>43</v>
      </c>
      <c r="V24" s="92" t="s">
        <v>43</v>
      </c>
      <c r="W24" s="92" t="s">
        <v>43</v>
      </c>
      <c r="X24" s="92" t="s">
        <v>43</v>
      </c>
      <c r="Y24" s="92" t="s">
        <v>43</v>
      </c>
      <c r="Z24" s="92"/>
      <c r="AA24" s="92"/>
      <c r="AB24" s="92" t="s">
        <v>49</v>
      </c>
      <c r="AC24" s="101"/>
      <c r="AD24" s="97" t="s">
        <v>44</v>
      </c>
      <c r="AE24" s="102">
        <v>2</v>
      </c>
      <c r="AF24" s="103" t="s">
        <v>75</v>
      </c>
    </row>
    <row r="25" ht="23.1" customHeight="1" spans="1:33">
      <c r="A25" s="5">
        <f t="shared" si="0"/>
        <v>22</v>
      </c>
      <c r="B25" s="5">
        <v>209</v>
      </c>
      <c r="C25" s="6" t="s">
        <v>68</v>
      </c>
      <c r="D25" s="6" t="s">
        <v>69</v>
      </c>
      <c r="E25" s="97" t="s">
        <v>87</v>
      </c>
      <c r="F25" s="97" t="s">
        <v>87</v>
      </c>
      <c r="G25" s="88" t="s">
        <v>77</v>
      </c>
      <c r="H25" s="92" t="s">
        <v>49</v>
      </c>
      <c r="I25" s="92" t="s">
        <v>43</v>
      </c>
      <c r="J25" s="92"/>
      <c r="K25" s="92"/>
      <c r="L25" s="92"/>
      <c r="M25" s="89" t="str">
        <f t="shared" si="1"/>
        <v>SPIC_JTTG_XXXX_XXXX_02系统实施类_209业态流程图_V1.0_20260106</v>
      </c>
      <c r="N25" s="98" t="s">
        <v>35</v>
      </c>
      <c r="O25" s="92" t="s">
        <v>43</v>
      </c>
      <c r="P25" s="92" t="s">
        <v>43</v>
      </c>
      <c r="Q25" s="92" t="s">
        <v>43</v>
      </c>
      <c r="R25" s="92" t="s">
        <v>43</v>
      </c>
      <c r="S25" s="92" t="s">
        <v>43</v>
      </c>
      <c r="T25" s="92" t="s">
        <v>43</v>
      </c>
      <c r="U25" s="92" t="s">
        <v>43</v>
      </c>
      <c r="V25" s="92" t="s">
        <v>43</v>
      </c>
      <c r="W25" s="92" t="s">
        <v>43</v>
      </c>
      <c r="X25" s="92" t="s">
        <v>43</v>
      </c>
      <c r="Y25" s="92" t="s">
        <v>43</v>
      </c>
      <c r="Z25" s="92"/>
      <c r="AA25" s="92"/>
      <c r="AB25" s="92" t="s">
        <v>49</v>
      </c>
      <c r="AC25" s="16"/>
      <c r="AD25" s="6" t="s">
        <v>44</v>
      </c>
      <c r="AE25" s="93">
        <v>2</v>
      </c>
      <c r="AF25" s="99" t="s">
        <v>78</v>
      </c>
      <c r="AG25" s="26" t="s">
        <v>79</v>
      </c>
    </row>
    <row r="26" ht="23.1" customHeight="1" spans="1:33">
      <c r="A26" s="5">
        <f t="shared" si="0"/>
        <v>23</v>
      </c>
      <c r="B26" s="5">
        <v>210</v>
      </c>
      <c r="C26" s="6" t="s">
        <v>68</v>
      </c>
      <c r="D26" s="6" t="s">
        <v>69</v>
      </c>
      <c r="E26" s="104" t="s">
        <v>88</v>
      </c>
      <c r="F26" s="104" t="s">
        <v>88</v>
      </c>
      <c r="G26" s="88" t="s">
        <v>42</v>
      </c>
      <c r="H26" s="92" t="s">
        <v>49</v>
      </c>
      <c r="I26" s="92" t="s">
        <v>43</v>
      </c>
      <c r="J26" s="92"/>
      <c r="K26" s="92"/>
      <c r="L26" s="92"/>
      <c r="M26" s="89" t="str">
        <f t="shared" si="1"/>
        <v>SPIC_JTTG_XXXX_XXXX_02系统实施类_210业态专题方案（境外/核能/工程服务/金融专题方案）_V1.0_20260106</v>
      </c>
      <c r="N26" s="98" t="s">
        <v>35</v>
      </c>
      <c r="O26" s="92" t="s">
        <v>43</v>
      </c>
      <c r="P26" s="92" t="s">
        <v>43</v>
      </c>
      <c r="Q26" s="92" t="s">
        <v>43</v>
      </c>
      <c r="R26" s="92" t="s">
        <v>43</v>
      </c>
      <c r="S26" s="92" t="s">
        <v>43</v>
      </c>
      <c r="T26" s="92" t="s">
        <v>43</v>
      </c>
      <c r="U26" s="92" t="s">
        <v>43</v>
      </c>
      <c r="V26" s="92" t="s">
        <v>43</v>
      </c>
      <c r="W26" s="92" t="s">
        <v>43</v>
      </c>
      <c r="X26" s="92" t="s">
        <v>43</v>
      </c>
      <c r="Y26" s="92" t="s">
        <v>43</v>
      </c>
      <c r="Z26" s="92"/>
      <c r="AA26" s="92"/>
      <c r="AB26" s="92" t="s">
        <v>49</v>
      </c>
      <c r="AC26" s="16"/>
      <c r="AD26" s="6" t="s">
        <v>44</v>
      </c>
      <c r="AE26" s="93">
        <v>1</v>
      </c>
      <c r="AF26" s="103" t="s">
        <v>75</v>
      </c>
    </row>
    <row r="27" ht="23.1" customHeight="1" spans="1:33">
      <c r="A27" s="5">
        <f t="shared" si="0"/>
        <v>24</v>
      </c>
      <c r="B27" s="5">
        <v>211</v>
      </c>
      <c r="C27" s="6" t="s">
        <v>68</v>
      </c>
      <c r="D27" s="6" t="s">
        <v>69</v>
      </c>
      <c r="E27" s="97" t="s">
        <v>89</v>
      </c>
      <c r="F27" s="97" t="s">
        <v>89</v>
      </c>
      <c r="G27" s="88" t="s">
        <v>52</v>
      </c>
      <c r="H27" s="92" t="s">
        <v>49</v>
      </c>
      <c r="I27" s="5"/>
      <c r="J27" s="92" t="s">
        <v>43</v>
      </c>
      <c r="K27" s="5"/>
      <c r="L27" s="5"/>
      <c r="M27" s="89" t="str">
        <f t="shared" si="1"/>
        <v>SPIC_JTTG_XXXX_XXXX_02系统实施类_211个性需求清单_V1.0_20260106</v>
      </c>
      <c r="N27" s="98" t="s">
        <v>35</v>
      </c>
      <c r="O27" s="92" t="s">
        <v>43</v>
      </c>
      <c r="P27" s="92" t="s">
        <v>43</v>
      </c>
      <c r="Q27" s="92" t="s">
        <v>43</v>
      </c>
      <c r="R27" s="92" t="s">
        <v>43</v>
      </c>
      <c r="S27" s="92" t="s">
        <v>43</v>
      </c>
      <c r="T27" s="92" t="s">
        <v>43</v>
      </c>
      <c r="U27" s="92" t="s">
        <v>43</v>
      </c>
      <c r="V27" s="92" t="s">
        <v>43</v>
      </c>
      <c r="W27" s="92" t="s">
        <v>43</v>
      </c>
      <c r="X27" s="92" t="s">
        <v>43</v>
      </c>
      <c r="Y27" s="92" t="s">
        <v>43</v>
      </c>
      <c r="Z27" s="92"/>
      <c r="AA27" s="92"/>
      <c r="AB27" s="92" t="s">
        <v>49</v>
      </c>
      <c r="AC27" s="16"/>
      <c r="AD27" s="6" t="s">
        <v>44</v>
      </c>
      <c r="AE27" s="93">
        <v>1</v>
      </c>
      <c r="AF27" s="99" t="s">
        <v>71</v>
      </c>
      <c r="AG27" s="26" t="s">
        <v>84</v>
      </c>
    </row>
    <row r="28" ht="23.1" customHeight="1" spans="1:33">
      <c r="A28" s="5">
        <f t="shared" si="0"/>
        <v>25</v>
      </c>
      <c r="B28" s="5">
        <v>212</v>
      </c>
      <c r="C28" s="6" t="s">
        <v>68</v>
      </c>
      <c r="D28" s="6" t="s">
        <v>69</v>
      </c>
      <c r="E28" s="6" t="s">
        <v>90</v>
      </c>
      <c r="F28" s="6" t="s">
        <v>90</v>
      </c>
      <c r="G28" s="88" t="s">
        <v>67</v>
      </c>
      <c r="H28" s="92" t="s">
        <v>49</v>
      </c>
      <c r="I28" s="5"/>
      <c r="J28" s="92" t="s">
        <v>43</v>
      </c>
      <c r="K28" s="5"/>
      <c r="L28" s="5"/>
      <c r="M28" s="89" t="str">
        <f t="shared" si="1"/>
        <v>SPIC_JTTG_XXXX_XXXX_02系统实施类_212二级单位差异分析报告_V1.0_20260106</v>
      </c>
      <c r="N28" s="98" t="s">
        <v>35</v>
      </c>
      <c r="O28" s="92" t="s">
        <v>43</v>
      </c>
      <c r="P28" s="92" t="s">
        <v>43</v>
      </c>
      <c r="Q28" s="92" t="s">
        <v>43</v>
      </c>
      <c r="R28" s="92" t="s">
        <v>43</v>
      </c>
      <c r="S28" s="92" t="s">
        <v>43</v>
      </c>
      <c r="T28" s="92" t="s">
        <v>43</v>
      </c>
      <c r="U28" s="92" t="s">
        <v>43</v>
      </c>
      <c r="V28" s="92" t="s">
        <v>43</v>
      </c>
      <c r="W28" s="92" t="s">
        <v>43</v>
      </c>
      <c r="X28" s="92" t="s">
        <v>43</v>
      </c>
      <c r="Y28" s="92" t="s">
        <v>43</v>
      </c>
      <c r="Z28" s="92"/>
      <c r="AA28" s="92"/>
      <c r="AB28" s="92" t="s">
        <v>49</v>
      </c>
      <c r="AC28" s="16"/>
      <c r="AD28" s="6" t="s">
        <v>44</v>
      </c>
      <c r="AE28" s="93">
        <v>1</v>
      </c>
      <c r="AF28" s="99" t="s">
        <v>71</v>
      </c>
      <c r="AG28" s="26" t="s">
        <v>84</v>
      </c>
    </row>
    <row r="29" ht="23.1" customHeight="1" spans="1:33">
      <c r="A29" s="5">
        <f t="shared" si="0"/>
        <v>26</v>
      </c>
      <c r="B29" s="5">
        <v>213</v>
      </c>
      <c r="C29" s="6" t="s">
        <v>68</v>
      </c>
      <c r="D29" s="6" t="s">
        <v>69</v>
      </c>
      <c r="E29" s="6" t="s">
        <v>91</v>
      </c>
      <c r="F29" s="6" t="s">
        <v>91</v>
      </c>
      <c r="G29" s="88" t="s">
        <v>42</v>
      </c>
      <c r="H29" s="92" t="s">
        <v>49</v>
      </c>
      <c r="I29" s="5"/>
      <c r="J29" s="92" t="s">
        <v>43</v>
      </c>
      <c r="K29" s="5"/>
      <c r="L29" s="5"/>
      <c r="M29" s="89" t="str">
        <f t="shared" si="1"/>
        <v>SPIC_JTTG_XXXX_XXXX_02系统实施类_213二级单位蓝图及详细设计方案_V1.0_20260106</v>
      </c>
      <c r="N29" s="98" t="s">
        <v>35</v>
      </c>
      <c r="O29" s="92" t="s">
        <v>43</v>
      </c>
      <c r="P29" s="92" t="s">
        <v>43</v>
      </c>
      <c r="Q29" s="92" t="s">
        <v>43</v>
      </c>
      <c r="R29" s="92" t="s">
        <v>43</v>
      </c>
      <c r="S29" s="92" t="s">
        <v>43</v>
      </c>
      <c r="T29" s="92" t="s">
        <v>43</v>
      </c>
      <c r="U29" s="92" t="s">
        <v>43</v>
      </c>
      <c r="V29" s="92" t="s">
        <v>43</v>
      </c>
      <c r="W29" s="92" t="s">
        <v>43</v>
      </c>
      <c r="X29" s="92" t="s">
        <v>43</v>
      </c>
      <c r="Y29" s="92" t="s">
        <v>43</v>
      </c>
      <c r="Z29" s="92"/>
      <c r="AA29" s="92"/>
      <c r="AB29" s="92" t="s">
        <v>49</v>
      </c>
      <c r="AC29" s="16"/>
      <c r="AD29" s="6" t="s">
        <v>44</v>
      </c>
      <c r="AE29" s="93">
        <v>2</v>
      </c>
      <c r="AF29" s="105" t="s">
        <v>75</v>
      </c>
    </row>
    <row r="30" ht="23.1" customHeight="1" spans="1:33">
      <c r="A30" s="5">
        <f t="shared" si="0"/>
        <v>27</v>
      </c>
      <c r="B30" s="5">
        <v>214</v>
      </c>
      <c r="C30" s="6" t="s">
        <v>68</v>
      </c>
      <c r="D30" s="6" t="s">
        <v>69</v>
      </c>
      <c r="E30" s="6" t="s">
        <v>92</v>
      </c>
      <c r="F30" s="6" t="s">
        <v>92</v>
      </c>
      <c r="G30" s="88" t="s">
        <v>77</v>
      </c>
      <c r="H30" s="92" t="s">
        <v>49</v>
      </c>
      <c r="I30" s="5"/>
      <c r="J30" s="92" t="s">
        <v>43</v>
      </c>
      <c r="K30" s="5"/>
      <c r="L30" s="5"/>
      <c r="M30" s="89" t="str">
        <f t="shared" si="1"/>
        <v>SPIC_JTTG_XXXX_XXXX_02系统实施类_214二级单位流程图_V1.0_20260106</v>
      </c>
      <c r="N30" s="98" t="s">
        <v>35</v>
      </c>
      <c r="O30" s="92" t="s">
        <v>43</v>
      </c>
      <c r="P30" s="92" t="s">
        <v>43</v>
      </c>
      <c r="Q30" s="92" t="s">
        <v>43</v>
      </c>
      <c r="R30" s="92" t="s">
        <v>43</v>
      </c>
      <c r="S30" s="92" t="s">
        <v>43</v>
      </c>
      <c r="T30" s="92" t="s">
        <v>43</v>
      </c>
      <c r="U30" s="92" t="s">
        <v>43</v>
      </c>
      <c r="V30" s="92" t="s">
        <v>43</v>
      </c>
      <c r="W30" s="92" t="s">
        <v>43</v>
      </c>
      <c r="X30" s="92" t="s">
        <v>43</v>
      </c>
      <c r="Y30" s="92" t="s">
        <v>43</v>
      </c>
      <c r="Z30" s="92"/>
      <c r="AA30" s="92"/>
      <c r="AB30" s="92" t="s">
        <v>49</v>
      </c>
      <c r="AC30" s="16"/>
      <c r="AD30" s="6" t="s">
        <v>44</v>
      </c>
      <c r="AE30" s="93">
        <v>2</v>
      </c>
      <c r="AF30" s="106" t="s">
        <v>78</v>
      </c>
      <c r="AG30" s="26" t="s">
        <v>79</v>
      </c>
    </row>
    <row r="31" ht="23.1" customHeight="1" spans="1:33">
      <c r="A31" s="5">
        <f t="shared" si="0"/>
        <v>28</v>
      </c>
      <c r="B31" s="5">
        <v>215</v>
      </c>
      <c r="C31" s="6" t="s">
        <v>68</v>
      </c>
      <c r="D31" s="6" t="s">
        <v>69</v>
      </c>
      <c r="E31" s="6" t="s">
        <v>93</v>
      </c>
      <c r="F31" s="6" t="s">
        <v>93</v>
      </c>
      <c r="G31" s="88" t="s">
        <v>42</v>
      </c>
      <c r="H31" s="92" t="s">
        <v>49</v>
      </c>
      <c r="I31" s="5"/>
      <c r="J31" s="92" t="s">
        <v>43</v>
      </c>
      <c r="K31" s="5"/>
      <c r="L31" s="5"/>
      <c r="M31" s="89" t="str">
        <f t="shared" si="1"/>
        <v>SPIC_JTTG_XXXX_XXXX_02系统实施类_215二级单位专题方案_V1.0_20260106</v>
      </c>
      <c r="N31" s="98" t="s">
        <v>35</v>
      </c>
      <c r="O31" s="92" t="s">
        <v>43</v>
      </c>
      <c r="P31" s="92" t="s">
        <v>43</v>
      </c>
      <c r="Q31" s="92" t="s">
        <v>43</v>
      </c>
      <c r="R31" s="92" t="s">
        <v>43</v>
      </c>
      <c r="S31" s="92" t="s">
        <v>43</v>
      </c>
      <c r="T31" s="92" t="s">
        <v>43</v>
      </c>
      <c r="U31" s="92" t="s">
        <v>43</v>
      </c>
      <c r="V31" s="92" t="s">
        <v>43</v>
      </c>
      <c r="W31" s="92" t="s">
        <v>43</v>
      </c>
      <c r="X31" s="92" t="s">
        <v>43</v>
      </c>
      <c r="Y31" s="92" t="s">
        <v>43</v>
      </c>
      <c r="Z31" s="92" t="s">
        <v>49</v>
      </c>
      <c r="AA31" s="92"/>
      <c r="AB31" s="92" t="s">
        <v>49</v>
      </c>
      <c r="AC31" s="16"/>
      <c r="AD31" s="6" t="s">
        <v>44</v>
      </c>
      <c r="AE31" s="93">
        <v>1</v>
      </c>
      <c r="AF31" s="103" t="s">
        <v>75</v>
      </c>
    </row>
    <row r="32" ht="23.1" customHeight="1" spans="1:33">
      <c r="A32" s="5">
        <f t="shared" si="0"/>
        <v>29</v>
      </c>
      <c r="B32" s="5">
        <v>216</v>
      </c>
      <c r="C32" s="6" t="s">
        <v>68</v>
      </c>
      <c r="D32" s="6" t="s">
        <v>69</v>
      </c>
      <c r="E32" s="6" t="s">
        <v>94</v>
      </c>
      <c r="F32" s="6" t="s">
        <v>94</v>
      </c>
      <c r="G32" s="88" t="s">
        <v>42</v>
      </c>
      <c r="H32" s="5" t="s">
        <v>43</v>
      </c>
      <c r="I32" s="5"/>
      <c r="J32" s="92"/>
      <c r="K32" s="5"/>
      <c r="L32" s="5"/>
      <c r="M32" s="89" t="str">
        <f t="shared" si="1"/>
        <v>SPIC_JTTG_XXXX_XXXX_02系统实施类_216自建系统集成方案_V1.0_20260106</v>
      </c>
      <c r="N32" s="90" t="s">
        <v>95</v>
      </c>
      <c r="O32" s="92" t="s">
        <v>49</v>
      </c>
      <c r="P32" s="92" t="s">
        <v>49</v>
      </c>
      <c r="Q32" s="92" t="s">
        <v>49</v>
      </c>
      <c r="R32" s="92" t="s">
        <v>49</v>
      </c>
      <c r="S32" s="92" t="s">
        <v>49</v>
      </c>
      <c r="T32" s="92" t="s">
        <v>49</v>
      </c>
      <c r="U32" s="92" t="s">
        <v>49</v>
      </c>
      <c r="V32" s="92" t="s">
        <v>49</v>
      </c>
      <c r="W32" s="92" t="s">
        <v>49</v>
      </c>
      <c r="X32" s="92" t="s">
        <v>49</v>
      </c>
      <c r="Y32" s="92" t="s">
        <v>49</v>
      </c>
      <c r="Z32" s="92" t="s">
        <v>43</v>
      </c>
      <c r="AA32" s="92"/>
      <c r="AB32" s="92" t="s">
        <v>49</v>
      </c>
      <c r="AC32" s="16"/>
      <c r="AD32" s="6" t="s">
        <v>44</v>
      </c>
      <c r="AE32" s="93">
        <v>1</v>
      </c>
      <c r="AF32" s="103" t="s">
        <v>75</v>
      </c>
    </row>
    <row r="33" ht="23.1" customHeight="1" spans="1:33">
      <c r="A33" s="5">
        <f t="shared" si="0"/>
        <v>30</v>
      </c>
      <c r="B33" s="5">
        <v>217</v>
      </c>
      <c r="C33" s="6" t="s">
        <v>68</v>
      </c>
      <c r="D33" s="6" t="s">
        <v>69</v>
      </c>
      <c r="E33" s="6" t="s">
        <v>96</v>
      </c>
      <c r="F33" s="6" t="s">
        <v>96</v>
      </c>
      <c r="G33" s="88" t="s">
        <v>97</v>
      </c>
      <c r="H33" s="92" t="s">
        <v>43</v>
      </c>
      <c r="I33" s="5"/>
      <c r="J33" s="92"/>
      <c r="K33" s="5"/>
      <c r="L33" s="5"/>
      <c r="M33" s="89" t="str">
        <f t="shared" si="1"/>
        <v>SPIC_JTTG_XXXX_XXXX_02系统实施类_217静态数据收集方案_V1.0_20260106</v>
      </c>
      <c r="N33" s="90" t="s">
        <v>98</v>
      </c>
      <c r="O33" s="92" t="s">
        <v>49</v>
      </c>
      <c r="P33" s="92" t="s">
        <v>49</v>
      </c>
      <c r="Q33" s="92" t="s">
        <v>49</v>
      </c>
      <c r="R33" s="92" t="s">
        <v>49</v>
      </c>
      <c r="S33" s="92" t="s">
        <v>49</v>
      </c>
      <c r="T33" s="92" t="s">
        <v>49</v>
      </c>
      <c r="U33" s="92" t="s">
        <v>49</v>
      </c>
      <c r="V33" s="92" t="s">
        <v>49</v>
      </c>
      <c r="W33" s="92" t="s">
        <v>49</v>
      </c>
      <c r="X33" s="92" t="s">
        <v>49</v>
      </c>
      <c r="Y33" s="92" t="s">
        <v>49</v>
      </c>
      <c r="Z33" s="92" t="s">
        <v>49</v>
      </c>
      <c r="AA33" s="92" t="s">
        <v>43</v>
      </c>
      <c r="AB33" s="92" t="s">
        <v>49</v>
      </c>
      <c r="AC33" s="16"/>
      <c r="AD33" s="6" t="s">
        <v>44</v>
      </c>
      <c r="AE33" s="93">
        <v>2</v>
      </c>
      <c r="AF33" s="103" t="s">
        <v>75</v>
      </c>
    </row>
    <row r="34" ht="23.1" customHeight="1" spans="1:33">
      <c r="A34" s="5">
        <f t="shared" si="0"/>
        <v>31</v>
      </c>
      <c r="B34" s="5">
        <v>218</v>
      </c>
      <c r="C34" s="6" t="s">
        <v>68</v>
      </c>
      <c r="D34" s="6" t="s">
        <v>99</v>
      </c>
      <c r="E34" s="6" t="s">
        <v>100</v>
      </c>
      <c r="F34" s="6" t="s">
        <v>100</v>
      </c>
      <c r="G34" s="88" t="s">
        <v>52</v>
      </c>
      <c r="H34" s="92" t="s">
        <v>43</v>
      </c>
      <c r="I34" s="5"/>
      <c r="J34" s="5"/>
      <c r="K34" s="5"/>
      <c r="L34" s="5"/>
      <c r="M34" s="89" t="str">
        <f t="shared" si="1"/>
        <v>SPIC_JTTG_XXXX_XXXX_04数据管理类_218静态数据收集计划及模板_V1.0_20260106</v>
      </c>
      <c r="N34" s="90" t="s">
        <v>98</v>
      </c>
      <c r="O34" s="92" t="s">
        <v>43</v>
      </c>
      <c r="P34" s="92" t="s">
        <v>43</v>
      </c>
      <c r="Q34" s="92" t="s">
        <v>43</v>
      </c>
      <c r="R34" s="92" t="s">
        <v>43</v>
      </c>
      <c r="S34" s="92" t="s">
        <v>43</v>
      </c>
      <c r="T34" s="92" t="s">
        <v>43</v>
      </c>
      <c r="U34" s="92" t="s">
        <v>43</v>
      </c>
      <c r="V34" s="92" t="s">
        <v>43</v>
      </c>
      <c r="W34" s="92" t="s">
        <v>43</v>
      </c>
      <c r="X34" s="92" t="s">
        <v>43</v>
      </c>
      <c r="Y34" s="92" t="s">
        <v>43</v>
      </c>
      <c r="Z34" s="92" t="s">
        <v>49</v>
      </c>
      <c r="AA34" s="92" t="s">
        <v>43</v>
      </c>
      <c r="AB34" s="92" t="s">
        <v>49</v>
      </c>
      <c r="AC34" s="11" t="s">
        <v>101</v>
      </c>
      <c r="AD34" s="6" t="s">
        <v>44</v>
      </c>
      <c r="AE34" s="93">
        <v>1</v>
      </c>
      <c r="AF34" s="103" t="s">
        <v>78</v>
      </c>
    </row>
    <row r="35" ht="23.1" customHeight="1" spans="1:33">
      <c r="A35" s="5">
        <f t="shared" si="0"/>
        <v>32</v>
      </c>
      <c r="B35" s="5">
        <v>219</v>
      </c>
      <c r="C35" s="6" t="s">
        <v>68</v>
      </c>
      <c r="D35" s="6" t="s">
        <v>69</v>
      </c>
      <c r="E35" s="6" t="s">
        <v>102</v>
      </c>
      <c r="F35" s="6" t="s">
        <v>102</v>
      </c>
      <c r="G35" s="6" t="s">
        <v>42</v>
      </c>
      <c r="H35" s="92" t="s">
        <v>43</v>
      </c>
      <c r="I35" s="92" t="s">
        <v>43</v>
      </c>
      <c r="J35" s="92" t="s">
        <v>43</v>
      </c>
      <c r="K35" s="5"/>
      <c r="L35" s="5"/>
      <c r="M35" s="89" t="str">
        <f t="shared" si="1"/>
        <v>SPIC_JTTG_XXXX_XXXX_02系统实施类_219详细设计方案评审汇报材料_V1.0_20260106</v>
      </c>
      <c r="N35" s="98" t="s">
        <v>35</v>
      </c>
      <c r="O35" s="92" t="s">
        <v>43</v>
      </c>
      <c r="P35" s="92" t="s">
        <v>43</v>
      </c>
      <c r="Q35" s="92" t="s">
        <v>43</v>
      </c>
      <c r="R35" s="92" t="s">
        <v>43</v>
      </c>
      <c r="S35" s="92" t="s">
        <v>43</v>
      </c>
      <c r="T35" s="92" t="s">
        <v>43</v>
      </c>
      <c r="U35" s="92" t="s">
        <v>43</v>
      </c>
      <c r="V35" s="92" t="s">
        <v>43</v>
      </c>
      <c r="W35" s="92" t="s">
        <v>43</v>
      </c>
      <c r="X35" s="92" t="s">
        <v>43</v>
      </c>
      <c r="Y35" s="92" t="s">
        <v>43</v>
      </c>
      <c r="Z35" s="92"/>
      <c r="AA35" s="92"/>
      <c r="AB35" s="92" t="s">
        <v>49</v>
      </c>
      <c r="AC35" s="16"/>
      <c r="AD35" s="6" t="s">
        <v>44</v>
      </c>
      <c r="AE35" s="93">
        <v>1</v>
      </c>
      <c r="AF35" s="103" t="s">
        <v>75</v>
      </c>
    </row>
    <row r="36" ht="23.1" customHeight="1" spans="1:33">
      <c r="A36" s="5">
        <f t="shared" si="0"/>
        <v>33</v>
      </c>
      <c r="B36" s="5">
        <v>220</v>
      </c>
      <c r="C36" s="6" t="s">
        <v>68</v>
      </c>
      <c r="D36" s="6" t="s">
        <v>40</v>
      </c>
      <c r="E36" s="5" t="s">
        <v>103</v>
      </c>
      <c r="F36" s="5" t="s">
        <v>103</v>
      </c>
      <c r="G36" s="6" t="s">
        <v>67</v>
      </c>
      <c r="H36" s="92" t="s">
        <v>43</v>
      </c>
      <c r="I36" s="92" t="s">
        <v>43</v>
      </c>
      <c r="J36" s="92" t="s">
        <v>43</v>
      </c>
      <c r="K36" s="5"/>
      <c r="L36" s="5"/>
      <c r="M36" s="89" t="str">
        <f t="shared" si="1"/>
        <v>SPIC_JTTG_XXXX_XXXX_01项目管理类_220评审意见单_V1.0_20260106</v>
      </c>
      <c r="N36" s="98" t="s">
        <v>35</v>
      </c>
      <c r="O36" s="92" t="s">
        <v>43</v>
      </c>
      <c r="P36" s="92" t="s">
        <v>43</v>
      </c>
      <c r="Q36" s="92" t="s">
        <v>43</v>
      </c>
      <c r="R36" s="92" t="s">
        <v>43</v>
      </c>
      <c r="S36" s="92" t="s">
        <v>43</v>
      </c>
      <c r="T36" s="92" t="s">
        <v>43</v>
      </c>
      <c r="U36" s="92" t="s">
        <v>43</v>
      </c>
      <c r="V36" s="92" t="s">
        <v>43</v>
      </c>
      <c r="W36" s="92" t="s">
        <v>43</v>
      </c>
      <c r="X36" s="92" t="s">
        <v>43</v>
      </c>
      <c r="Y36" s="92" t="s">
        <v>43</v>
      </c>
      <c r="Z36" s="92"/>
      <c r="AA36" s="92"/>
      <c r="AB36" s="92" t="s">
        <v>49</v>
      </c>
      <c r="AC36" s="16"/>
      <c r="AD36" s="6" t="s">
        <v>44</v>
      </c>
      <c r="AE36" s="93">
        <v>1</v>
      </c>
      <c r="AF36" s="105" t="s">
        <v>78</v>
      </c>
      <c r="AG36" s="26" t="s">
        <v>104</v>
      </c>
    </row>
    <row r="37" ht="23.1" customHeight="1" spans="1:33">
      <c r="A37" s="5">
        <f t="shared" si="0"/>
        <v>34</v>
      </c>
      <c r="B37" s="5">
        <v>221</v>
      </c>
      <c r="C37" s="6" t="s">
        <v>68</v>
      </c>
      <c r="D37" s="6" t="s">
        <v>105</v>
      </c>
      <c r="E37" s="6" t="s">
        <v>106</v>
      </c>
      <c r="F37" s="6" t="s">
        <v>106</v>
      </c>
      <c r="G37" s="88" t="s">
        <v>52</v>
      </c>
      <c r="H37" s="92" t="s">
        <v>43</v>
      </c>
      <c r="I37" s="92" t="s">
        <v>43</v>
      </c>
      <c r="J37" s="92" t="s">
        <v>43</v>
      </c>
      <c r="K37" s="5"/>
      <c r="L37" s="5"/>
      <c r="M37" s="89" t="str">
        <f t="shared" si="1"/>
        <v>SPIC_JTTG_XXXX_XXXX_03技术管理类_221开发清单_V1.0_20260106</v>
      </c>
      <c r="N37" s="90" t="s">
        <v>33</v>
      </c>
      <c r="O37" s="92" t="s">
        <v>43</v>
      </c>
      <c r="P37" s="92" t="s">
        <v>43</v>
      </c>
      <c r="Q37" s="92" t="s">
        <v>43</v>
      </c>
      <c r="R37" s="92" t="s">
        <v>43</v>
      </c>
      <c r="S37" s="92" t="s">
        <v>43</v>
      </c>
      <c r="T37" s="92" t="s">
        <v>43</v>
      </c>
      <c r="U37" s="92" t="s">
        <v>43</v>
      </c>
      <c r="V37" s="92" t="s">
        <v>43</v>
      </c>
      <c r="W37" s="92" t="s">
        <v>43</v>
      </c>
      <c r="X37" s="92" t="s">
        <v>43</v>
      </c>
      <c r="Y37" s="92" t="s">
        <v>43</v>
      </c>
      <c r="Z37" s="92" t="s">
        <v>43</v>
      </c>
      <c r="AA37" s="92" t="s">
        <v>49</v>
      </c>
      <c r="AB37" s="92"/>
      <c r="AC37" s="16"/>
      <c r="AD37" s="6" t="s">
        <v>44</v>
      </c>
      <c r="AE37" s="93">
        <v>1</v>
      </c>
      <c r="AF37" s="103" t="s">
        <v>75</v>
      </c>
    </row>
    <row r="38" ht="23.1" customHeight="1" spans="1:33">
      <c r="A38" s="5">
        <f t="shared" si="0"/>
        <v>35</v>
      </c>
      <c r="B38" s="5">
        <v>222</v>
      </c>
      <c r="C38" s="6" t="s">
        <v>68</v>
      </c>
      <c r="D38" s="6" t="s">
        <v>105</v>
      </c>
      <c r="E38" s="6" t="s">
        <v>107</v>
      </c>
      <c r="F38" s="6" t="s">
        <v>107</v>
      </c>
      <c r="G38" s="88" t="s">
        <v>52</v>
      </c>
      <c r="H38" s="92" t="s">
        <v>43</v>
      </c>
      <c r="I38" s="92" t="s">
        <v>43</v>
      </c>
      <c r="J38" s="92" t="s">
        <v>43</v>
      </c>
      <c r="K38" s="5"/>
      <c r="L38" s="5"/>
      <c r="M38" s="89" t="str">
        <f t="shared" si="1"/>
        <v>SPIC_JTTG_XXXX_XXXX_03技术管理类_222集成清单_V1.0_20260106</v>
      </c>
      <c r="N38" s="90" t="s">
        <v>95</v>
      </c>
      <c r="O38" s="92" t="s">
        <v>43</v>
      </c>
      <c r="P38" s="92" t="s">
        <v>43</v>
      </c>
      <c r="Q38" s="92" t="s">
        <v>43</v>
      </c>
      <c r="R38" s="92" t="s">
        <v>43</v>
      </c>
      <c r="S38" s="92" t="s">
        <v>43</v>
      </c>
      <c r="T38" s="92" t="s">
        <v>43</v>
      </c>
      <c r="U38" s="92" t="s">
        <v>43</v>
      </c>
      <c r="V38" s="92" t="s">
        <v>43</v>
      </c>
      <c r="W38" s="92" t="s">
        <v>43</v>
      </c>
      <c r="X38" s="92" t="s">
        <v>43</v>
      </c>
      <c r="Y38" s="92" t="s">
        <v>43</v>
      </c>
      <c r="Z38" s="92" t="s">
        <v>43</v>
      </c>
      <c r="AA38" s="92"/>
      <c r="AB38" s="92"/>
      <c r="AC38" s="16"/>
      <c r="AD38" s="6" t="s">
        <v>44</v>
      </c>
      <c r="AE38" s="93">
        <v>1</v>
      </c>
      <c r="AF38" s="103" t="s">
        <v>75</v>
      </c>
    </row>
    <row r="39" ht="23.1" customHeight="1" spans="1:33">
      <c r="A39" s="5">
        <f t="shared" si="0"/>
        <v>36</v>
      </c>
      <c r="B39" s="5">
        <v>300</v>
      </c>
      <c r="C39" s="6" t="s">
        <v>108</v>
      </c>
      <c r="D39" s="6" t="s">
        <v>105</v>
      </c>
      <c r="E39" s="6" t="s">
        <v>109</v>
      </c>
      <c r="F39" s="6" t="s">
        <v>109</v>
      </c>
      <c r="G39" s="88" t="s">
        <v>67</v>
      </c>
      <c r="H39" s="92" t="s">
        <v>43</v>
      </c>
      <c r="I39" s="92" t="s">
        <v>43</v>
      </c>
      <c r="J39" s="5"/>
      <c r="K39" s="5"/>
      <c r="L39" s="5"/>
      <c r="M39" s="89" t="str">
        <f t="shared" si="1"/>
        <v>SPIC_JTTG_XXXX_XXXX_03技术管理类_300共性功能设计说明书_V1.0_20260106</v>
      </c>
      <c r="N39" s="98" t="s">
        <v>35</v>
      </c>
      <c r="O39" s="92" t="s">
        <v>43</v>
      </c>
      <c r="P39" s="92" t="s">
        <v>43</v>
      </c>
      <c r="Q39" s="92" t="s">
        <v>43</v>
      </c>
      <c r="R39" s="92" t="s">
        <v>43</v>
      </c>
      <c r="S39" s="92" t="s">
        <v>43</v>
      </c>
      <c r="T39" s="92" t="s">
        <v>43</v>
      </c>
      <c r="U39" s="92" t="s">
        <v>43</v>
      </c>
      <c r="V39" s="92" t="s">
        <v>43</v>
      </c>
      <c r="W39" s="92" t="s">
        <v>43</v>
      </c>
      <c r="X39" s="92" t="s">
        <v>43</v>
      </c>
      <c r="Y39" s="92" t="s">
        <v>43</v>
      </c>
      <c r="Z39" s="92" t="s">
        <v>49</v>
      </c>
      <c r="AA39" s="92" t="s">
        <v>49</v>
      </c>
      <c r="AB39" s="92" t="s">
        <v>49</v>
      </c>
      <c r="AC39" s="16"/>
      <c r="AD39" s="6" t="s">
        <v>44</v>
      </c>
      <c r="AE39" s="93">
        <v>1</v>
      </c>
      <c r="AF39" s="103" t="s">
        <v>75</v>
      </c>
    </row>
    <row r="40" ht="23.1" customHeight="1" spans="1:33">
      <c r="A40" s="5">
        <f t="shared" si="0"/>
        <v>37</v>
      </c>
      <c r="B40" s="5">
        <v>301</v>
      </c>
      <c r="C40" s="6" t="s">
        <v>108</v>
      </c>
      <c r="D40" s="6" t="s">
        <v>105</v>
      </c>
      <c r="E40" s="6" t="s">
        <v>110</v>
      </c>
      <c r="F40" s="6" t="s">
        <v>110</v>
      </c>
      <c r="G40" s="88" t="s">
        <v>67</v>
      </c>
      <c r="H40" s="92" t="s">
        <v>43</v>
      </c>
      <c r="I40" s="92" t="s">
        <v>43</v>
      </c>
      <c r="J40" s="5"/>
      <c r="K40" s="5"/>
      <c r="L40" s="5"/>
      <c r="M40" s="89" t="str">
        <f t="shared" si="1"/>
        <v>SPIC_JTTG_XXXX_XXXX_03技术管理类_301共性技术功能设计说明书_V1.0_20260106</v>
      </c>
      <c r="N40" s="98" t="s">
        <v>35</v>
      </c>
      <c r="O40" s="92" t="s">
        <v>43</v>
      </c>
      <c r="P40" s="92" t="s">
        <v>43</v>
      </c>
      <c r="Q40" s="92" t="s">
        <v>43</v>
      </c>
      <c r="R40" s="92" t="s">
        <v>43</v>
      </c>
      <c r="S40" s="92" t="s">
        <v>43</v>
      </c>
      <c r="T40" s="92" t="s">
        <v>43</v>
      </c>
      <c r="U40" s="92" t="s">
        <v>43</v>
      </c>
      <c r="V40" s="92" t="s">
        <v>43</v>
      </c>
      <c r="W40" s="92" t="s">
        <v>43</v>
      </c>
      <c r="X40" s="92" t="s">
        <v>43</v>
      </c>
      <c r="Y40" s="92" t="s">
        <v>43</v>
      </c>
      <c r="Z40" s="92"/>
      <c r="AA40" s="92"/>
      <c r="AB40" s="92" t="s">
        <v>49</v>
      </c>
      <c r="AC40" s="16"/>
      <c r="AD40" s="6" t="s">
        <v>44</v>
      </c>
      <c r="AE40" s="93">
        <v>1</v>
      </c>
      <c r="AF40" s="103" t="s">
        <v>75</v>
      </c>
    </row>
    <row r="41" ht="23.1" customHeight="1" spans="1:33">
      <c r="A41" s="5">
        <f t="shared" si="0"/>
        <v>38</v>
      </c>
      <c r="B41" s="5">
        <v>302</v>
      </c>
      <c r="C41" s="6" t="s">
        <v>108</v>
      </c>
      <c r="D41" s="6" t="s">
        <v>69</v>
      </c>
      <c r="E41" s="97" t="s">
        <v>111</v>
      </c>
      <c r="F41" s="97" t="s">
        <v>111</v>
      </c>
      <c r="G41" s="88" t="s">
        <v>52</v>
      </c>
      <c r="H41" s="92" t="s">
        <v>43</v>
      </c>
      <c r="I41" s="5"/>
      <c r="J41" s="5"/>
      <c r="K41" s="5"/>
      <c r="L41" s="5"/>
      <c r="M41" s="89" t="str">
        <f t="shared" si="1"/>
        <v>SPIC_JTTG_XXXX_XXXX_02系统实施类_302集团实施组单元测试计划及场景_V1.0_20260106</v>
      </c>
      <c r="N41" s="90" t="s">
        <v>56</v>
      </c>
      <c r="O41" s="92" t="s">
        <v>43</v>
      </c>
      <c r="P41" s="92" t="s">
        <v>43</v>
      </c>
      <c r="Q41" s="92" t="s">
        <v>43</v>
      </c>
      <c r="R41" s="92" t="s">
        <v>43</v>
      </c>
      <c r="S41" s="92" t="s">
        <v>43</v>
      </c>
      <c r="T41" s="92" t="s">
        <v>43</v>
      </c>
      <c r="U41" s="92" t="s">
        <v>43</v>
      </c>
      <c r="V41" s="92" t="s">
        <v>43</v>
      </c>
      <c r="W41" s="92" t="s">
        <v>43</v>
      </c>
      <c r="X41" s="92" t="s">
        <v>43</v>
      </c>
      <c r="Y41" s="92" t="s">
        <v>43</v>
      </c>
      <c r="Z41" s="92"/>
      <c r="AA41" s="92"/>
      <c r="AB41" s="92"/>
      <c r="AC41" s="16"/>
      <c r="AD41" s="6" t="s">
        <v>44</v>
      </c>
      <c r="AE41" s="93">
        <v>1</v>
      </c>
      <c r="AF41" s="99" t="s">
        <v>71</v>
      </c>
      <c r="AG41" s="26" t="s">
        <v>112</v>
      </c>
    </row>
    <row r="42" ht="23.1" customHeight="1" spans="1:33">
      <c r="A42" s="5">
        <f t="shared" si="0"/>
        <v>39</v>
      </c>
      <c r="B42" s="5">
        <v>303</v>
      </c>
      <c r="C42" s="6" t="s">
        <v>108</v>
      </c>
      <c r="D42" s="6" t="s">
        <v>69</v>
      </c>
      <c r="E42" s="97" t="s">
        <v>113</v>
      </c>
      <c r="F42" s="97" t="s">
        <v>113</v>
      </c>
      <c r="G42" s="88" t="s">
        <v>67</v>
      </c>
      <c r="H42" s="92" t="s">
        <v>43</v>
      </c>
      <c r="I42" s="5"/>
      <c r="J42" s="5"/>
      <c r="K42" s="5"/>
      <c r="L42" s="5"/>
      <c r="M42" s="89" t="str">
        <f t="shared" si="1"/>
        <v>SPIC_JTTG_XXXX_XXXX_02系统实施类_303集团实施组单元测试报告_V1.0_20260106</v>
      </c>
      <c r="N42" s="90" t="s">
        <v>56</v>
      </c>
      <c r="O42" s="92" t="s">
        <v>43</v>
      </c>
      <c r="P42" s="92" t="s">
        <v>43</v>
      </c>
      <c r="Q42" s="92" t="s">
        <v>43</v>
      </c>
      <c r="R42" s="92" t="s">
        <v>43</v>
      </c>
      <c r="S42" s="92" t="s">
        <v>43</v>
      </c>
      <c r="T42" s="92" t="s">
        <v>43</v>
      </c>
      <c r="U42" s="92" t="s">
        <v>43</v>
      </c>
      <c r="V42" s="92" t="s">
        <v>43</v>
      </c>
      <c r="W42" s="92" t="s">
        <v>43</v>
      </c>
      <c r="X42" s="92" t="s">
        <v>43</v>
      </c>
      <c r="Y42" s="92" t="s">
        <v>43</v>
      </c>
      <c r="Z42" s="92"/>
      <c r="AA42" s="92"/>
      <c r="AB42" s="92"/>
      <c r="AC42" s="16"/>
      <c r="AD42" s="6" t="s">
        <v>44</v>
      </c>
      <c r="AE42" s="93">
        <v>1</v>
      </c>
      <c r="AF42" s="105" t="s">
        <v>78</v>
      </c>
      <c r="AG42" s="26" t="s">
        <v>114</v>
      </c>
    </row>
    <row r="43" ht="23.25" customHeight="1" spans="1:33">
      <c r="A43" s="5">
        <f t="shared" si="0"/>
        <v>40</v>
      </c>
      <c r="B43" s="5">
        <v>304</v>
      </c>
      <c r="C43" s="6" t="s">
        <v>108</v>
      </c>
      <c r="D43" s="6" t="s">
        <v>69</v>
      </c>
      <c r="E43" s="6" t="s">
        <v>115</v>
      </c>
      <c r="F43" s="6" t="s">
        <v>115</v>
      </c>
      <c r="G43" s="88" t="s">
        <v>52</v>
      </c>
      <c r="H43" s="92" t="s">
        <v>43</v>
      </c>
      <c r="I43" s="5"/>
      <c r="J43" s="5"/>
      <c r="K43" s="5"/>
      <c r="L43" s="5"/>
      <c r="M43" s="89" t="str">
        <f t="shared" si="1"/>
        <v>SPIC_JTTG_XXXX_XXXX_02系统实施类_304集团实施组集成测试计划及场景_V1.0_20260106</v>
      </c>
      <c r="N43" s="90" t="s">
        <v>35</v>
      </c>
      <c r="O43" s="92" t="s">
        <v>43</v>
      </c>
      <c r="P43" s="92" t="s">
        <v>43</v>
      </c>
      <c r="Q43" s="92" t="s">
        <v>43</v>
      </c>
      <c r="R43" s="92" t="s">
        <v>43</v>
      </c>
      <c r="S43" s="92" t="s">
        <v>43</v>
      </c>
      <c r="T43" s="92" t="s">
        <v>43</v>
      </c>
      <c r="U43" s="92" t="s">
        <v>43</v>
      </c>
      <c r="V43" s="92" t="s">
        <v>43</v>
      </c>
      <c r="W43" s="92" t="s">
        <v>43</v>
      </c>
      <c r="X43" s="92" t="s">
        <v>43</v>
      </c>
      <c r="Y43" s="92" t="s">
        <v>43</v>
      </c>
      <c r="Z43" s="92"/>
      <c r="AA43" s="92"/>
      <c r="AB43" s="92"/>
      <c r="AC43" s="16"/>
      <c r="AD43" s="6" t="s">
        <v>44</v>
      </c>
      <c r="AE43" s="93">
        <v>1</v>
      </c>
      <c r="AF43" s="99" t="s">
        <v>71</v>
      </c>
      <c r="AG43" s="26" t="s">
        <v>112</v>
      </c>
    </row>
    <row r="44" ht="23.25" customHeight="1" spans="1:33">
      <c r="A44" s="5">
        <f t="shared" si="0"/>
        <v>41</v>
      </c>
      <c r="B44" s="5">
        <v>305</v>
      </c>
      <c r="C44" s="6" t="s">
        <v>108</v>
      </c>
      <c r="D44" s="6" t="s">
        <v>69</v>
      </c>
      <c r="E44" s="6" t="s">
        <v>116</v>
      </c>
      <c r="F44" s="6" t="s">
        <v>116</v>
      </c>
      <c r="G44" s="88" t="s">
        <v>67</v>
      </c>
      <c r="H44" s="92" t="s">
        <v>43</v>
      </c>
      <c r="I44" s="5"/>
      <c r="J44" s="5"/>
      <c r="K44" s="5"/>
      <c r="L44" s="5"/>
      <c r="M44" s="89" t="str">
        <f t="shared" si="1"/>
        <v>SPIC_JTTG_XXXX_XXXX_02系统实施类_305集团实施组集成测试报告_V1.0_20260106</v>
      </c>
      <c r="N44" s="90" t="s">
        <v>56</v>
      </c>
      <c r="O44" s="92" t="s">
        <v>43</v>
      </c>
      <c r="P44" s="92" t="s">
        <v>43</v>
      </c>
      <c r="Q44" s="92" t="s">
        <v>43</v>
      </c>
      <c r="R44" s="92" t="s">
        <v>43</v>
      </c>
      <c r="S44" s="92" t="s">
        <v>43</v>
      </c>
      <c r="T44" s="92" t="s">
        <v>43</v>
      </c>
      <c r="U44" s="92" t="s">
        <v>43</v>
      </c>
      <c r="V44" s="92" t="s">
        <v>43</v>
      </c>
      <c r="W44" s="92" t="s">
        <v>43</v>
      </c>
      <c r="X44" s="92" t="s">
        <v>43</v>
      </c>
      <c r="Y44" s="92" t="s">
        <v>43</v>
      </c>
      <c r="Z44" s="92"/>
      <c r="AA44" s="92"/>
      <c r="AB44" s="92"/>
      <c r="AC44" s="16"/>
      <c r="AD44" s="6" t="s">
        <v>44</v>
      </c>
      <c r="AE44" s="93">
        <v>1</v>
      </c>
      <c r="AF44" s="105" t="s">
        <v>78</v>
      </c>
      <c r="AG44" s="26" t="s">
        <v>114</v>
      </c>
    </row>
    <row r="45" ht="23.25" customHeight="1" spans="1:33">
      <c r="A45" s="5">
        <f t="shared" si="0"/>
        <v>42</v>
      </c>
      <c r="B45" s="5">
        <v>306</v>
      </c>
      <c r="C45" s="6" t="s">
        <v>108</v>
      </c>
      <c r="D45" s="6" t="s">
        <v>105</v>
      </c>
      <c r="E45" s="6" t="s">
        <v>117</v>
      </c>
      <c r="F45" s="6" t="s">
        <v>117</v>
      </c>
      <c r="G45" s="88" t="s">
        <v>52</v>
      </c>
      <c r="H45" s="92" t="s">
        <v>43</v>
      </c>
      <c r="I45" s="5" t="s">
        <v>49</v>
      </c>
      <c r="J45" s="92" t="s">
        <v>43</v>
      </c>
      <c r="K45" s="5"/>
      <c r="L45" s="5"/>
      <c r="M45" s="89" t="str">
        <f t="shared" si="1"/>
        <v>SPIC_JTTG_XXXX_XXXX_03技术管理类_306配置清单_V1.0_20260106</v>
      </c>
      <c r="N45" s="98" t="s">
        <v>35</v>
      </c>
      <c r="O45" s="92" t="s">
        <v>43</v>
      </c>
      <c r="P45" s="92"/>
      <c r="Q45" s="92"/>
      <c r="R45" s="92"/>
      <c r="S45" s="92"/>
      <c r="T45" s="92"/>
      <c r="U45" s="92"/>
      <c r="V45" s="92"/>
      <c r="W45" s="92"/>
      <c r="X45" s="92" t="s">
        <v>43</v>
      </c>
      <c r="Y45" s="92"/>
      <c r="Z45" s="92"/>
      <c r="AA45" s="92"/>
      <c r="AB45" s="92" t="s">
        <v>49</v>
      </c>
      <c r="AC45" s="11" t="s">
        <v>118</v>
      </c>
      <c r="AD45" s="6" t="s">
        <v>44</v>
      </c>
      <c r="AE45" s="93">
        <v>1</v>
      </c>
      <c r="AF45" s="105" t="s">
        <v>78</v>
      </c>
      <c r="AG45" s="26" t="s">
        <v>114</v>
      </c>
    </row>
    <row r="46" ht="23.1" customHeight="1" spans="1:33">
      <c r="A46" s="5">
        <f t="shared" si="0"/>
        <v>43</v>
      </c>
      <c r="B46" s="5">
        <v>307</v>
      </c>
      <c r="C46" s="6" t="s">
        <v>108</v>
      </c>
      <c r="D46" s="6" t="s">
        <v>105</v>
      </c>
      <c r="E46" s="6" t="s">
        <v>119</v>
      </c>
      <c r="F46" s="6" t="s">
        <v>119</v>
      </c>
      <c r="G46" s="88" t="s">
        <v>67</v>
      </c>
      <c r="H46" s="5" t="s">
        <v>49</v>
      </c>
      <c r="I46" s="5" t="s">
        <v>49</v>
      </c>
      <c r="J46" s="92" t="s">
        <v>43</v>
      </c>
      <c r="K46" s="5"/>
      <c r="L46" s="5"/>
      <c r="M46" s="89" t="str">
        <f t="shared" si="1"/>
        <v>SPIC_JTTG_XXXX_XXXX_03技术管理类_307个性功能设计说明书_V1.0_20260106</v>
      </c>
      <c r="N46" s="98" t="s">
        <v>35</v>
      </c>
      <c r="O46" s="92" t="s">
        <v>43</v>
      </c>
      <c r="P46" s="92" t="s">
        <v>43</v>
      </c>
      <c r="Q46" s="92" t="s">
        <v>43</v>
      </c>
      <c r="R46" s="92" t="s">
        <v>43</v>
      </c>
      <c r="S46" s="92" t="s">
        <v>43</v>
      </c>
      <c r="T46" s="92" t="s">
        <v>43</v>
      </c>
      <c r="U46" s="92" t="s">
        <v>43</v>
      </c>
      <c r="V46" s="92" t="s">
        <v>43</v>
      </c>
      <c r="W46" s="92" t="s">
        <v>43</v>
      </c>
      <c r="X46" s="92" t="s">
        <v>43</v>
      </c>
      <c r="Y46" s="92" t="s">
        <v>43</v>
      </c>
      <c r="Z46" s="92" t="s">
        <v>49</v>
      </c>
      <c r="AA46" s="92" t="s">
        <v>49</v>
      </c>
      <c r="AB46" s="92" t="s">
        <v>49</v>
      </c>
      <c r="AC46" s="16"/>
      <c r="AD46" s="6" t="s">
        <v>44</v>
      </c>
      <c r="AE46" s="93">
        <v>1</v>
      </c>
      <c r="AF46" s="99" t="s">
        <v>71</v>
      </c>
    </row>
    <row r="47" ht="23.1" customHeight="1" spans="1:33">
      <c r="A47" s="5">
        <f t="shared" si="0"/>
        <v>44</v>
      </c>
      <c r="B47" s="5">
        <v>308</v>
      </c>
      <c r="C47" s="6" t="s">
        <v>108</v>
      </c>
      <c r="D47" s="6" t="s">
        <v>105</v>
      </c>
      <c r="E47" s="6" t="s">
        <v>120</v>
      </c>
      <c r="F47" s="6" t="s">
        <v>120</v>
      </c>
      <c r="G47" s="88" t="s">
        <v>67</v>
      </c>
      <c r="H47" s="5" t="s">
        <v>49</v>
      </c>
      <c r="I47" s="5" t="s">
        <v>49</v>
      </c>
      <c r="J47" s="92" t="s">
        <v>43</v>
      </c>
      <c r="K47" s="5"/>
      <c r="L47" s="5"/>
      <c r="M47" s="89" t="str">
        <f t="shared" si="1"/>
        <v>SPIC_JTTG_XXXX_XXXX_03技术管理类_308个性功能技术设计说明书_V1.0_20260106</v>
      </c>
      <c r="N47" s="98" t="s">
        <v>35</v>
      </c>
      <c r="O47" s="92" t="s">
        <v>43</v>
      </c>
      <c r="P47" s="92" t="s">
        <v>43</v>
      </c>
      <c r="Q47" s="92" t="s">
        <v>43</v>
      </c>
      <c r="R47" s="92" t="s">
        <v>43</v>
      </c>
      <c r="S47" s="92" t="s">
        <v>43</v>
      </c>
      <c r="T47" s="92" t="s">
        <v>43</v>
      </c>
      <c r="U47" s="92" t="s">
        <v>43</v>
      </c>
      <c r="V47" s="92" t="s">
        <v>43</v>
      </c>
      <c r="W47" s="92" t="s">
        <v>43</v>
      </c>
      <c r="X47" s="92" t="s">
        <v>43</v>
      </c>
      <c r="Y47" s="92" t="s">
        <v>43</v>
      </c>
      <c r="Z47" s="92" t="s">
        <v>49</v>
      </c>
      <c r="AA47" s="92" t="s">
        <v>49</v>
      </c>
      <c r="AB47" s="92" t="s">
        <v>49</v>
      </c>
      <c r="AC47" s="16"/>
      <c r="AD47" s="6" t="s">
        <v>44</v>
      </c>
      <c r="AE47" s="93">
        <v>1</v>
      </c>
      <c r="AF47" s="99" t="s">
        <v>71</v>
      </c>
    </row>
    <row r="48" ht="23.1" customHeight="1" spans="1:33">
      <c r="A48" s="5">
        <f t="shared" si="0"/>
        <v>45</v>
      </c>
      <c r="B48" s="5">
        <v>309</v>
      </c>
      <c r="C48" s="6" t="s">
        <v>108</v>
      </c>
      <c r="D48" s="6" t="s">
        <v>69</v>
      </c>
      <c r="E48" s="97" t="s">
        <v>121</v>
      </c>
      <c r="F48" s="97" t="s">
        <v>121</v>
      </c>
      <c r="G48" s="88" t="s">
        <v>52</v>
      </c>
      <c r="H48" s="5" t="s">
        <v>49</v>
      </c>
      <c r="I48" s="5" t="s">
        <v>49</v>
      </c>
      <c r="J48" s="92" t="s">
        <v>43</v>
      </c>
      <c r="K48" s="5"/>
      <c r="L48" s="5"/>
      <c r="M48" s="89" t="str">
        <f t="shared" si="1"/>
        <v>SPIC_JTTG_XXXX_XXXX_02系统实施类_309二级单位单元测试计划及场景_V1.0_20260106</v>
      </c>
      <c r="N48" s="98"/>
      <c r="O48" s="92" t="s">
        <v>43</v>
      </c>
      <c r="P48" s="92" t="s">
        <v>43</v>
      </c>
      <c r="Q48" s="92" t="s">
        <v>43</v>
      </c>
      <c r="R48" s="92" t="s">
        <v>43</v>
      </c>
      <c r="S48" s="92" t="s">
        <v>43</v>
      </c>
      <c r="T48" s="92" t="s">
        <v>43</v>
      </c>
      <c r="U48" s="92" t="s">
        <v>43</v>
      </c>
      <c r="V48" s="92" t="s">
        <v>43</v>
      </c>
      <c r="W48" s="92" t="s">
        <v>43</v>
      </c>
      <c r="X48" s="92" t="s">
        <v>43</v>
      </c>
      <c r="Y48" s="92" t="s">
        <v>43</v>
      </c>
      <c r="Z48" s="92"/>
      <c r="AA48" s="92"/>
      <c r="AB48" s="92"/>
      <c r="AC48" s="16"/>
      <c r="AD48" s="6" t="s">
        <v>44</v>
      </c>
      <c r="AE48" s="93">
        <v>1</v>
      </c>
      <c r="AF48" s="99" t="s">
        <v>71</v>
      </c>
    </row>
    <row r="49" ht="23.1" customHeight="1" spans="1:33">
      <c r="A49" s="5">
        <f t="shared" si="0"/>
        <v>46</v>
      </c>
      <c r="B49" s="5">
        <v>310</v>
      </c>
      <c r="C49" s="6" t="s">
        <v>108</v>
      </c>
      <c r="D49" s="6" t="s">
        <v>69</v>
      </c>
      <c r="E49" s="97" t="s">
        <v>122</v>
      </c>
      <c r="F49" s="97" t="s">
        <v>122</v>
      </c>
      <c r="G49" s="88" t="s">
        <v>67</v>
      </c>
      <c r="H49" s="5" t="s">
        <v>49</v>
      </c>
      <c r="I49" s="5" t="s">
        <v>49</v>
      </c>
      <c r="J49" s="92" t="s">
        <v>43</v>
      </c>
      <c r="K49" s="5"/>
      <c r="L49" s="5"/>
      <c r="M49" s="89" t="str">
        <f t="shared" si="1"/>
        <v>SPIC_JTTG_XXXX_XXXX_02系统实施类_310二级单位单元测试报告_V1.0_20260106</v>
      </c>
      <c r="N49" s="98"/>
      <c r="O49" s="92" t="s">
        <v>43</v>
      </c>
      <c r="P49" s="92" t="s">
        <v>43</v>
      </c>
      <c r="Q49" s="92" t="s">
        <v>43</v>
      </c>
      <c r="R49" s="92" t="s">
        <v>43</v>
      </c>
      <c r="S49" s="92" t="s">
        <v>43</v>
      </c>
      <c r="T49" s="92" t="s">
        <v>43</v>
      </c>
      <c r="U49" s="92" t="s">
        <v>43</v>
      </c>
      <c r="V49" s="92" t="s">
        <v>43</v>
      </c>
      <c r="W49" s="92" t="s">
        <v>43</v>
      </c>
      <c r="X49" s="92" t="s">
        <v>43</v>
      </c>
      <c r="Y49" s="92" t="s">
        <v>43</v>
      </c>
      <c r="Z49" s="92"/>
      <c r="AA49" s="92"/>
      <c r="AB49" s="92"/>
      <c r="AC49" s="16"/>
      <c r="AD49" s="6" t="s">
        <v>44</v>
      </c>
      <c r="AE49" s="93">
        <v>1</v>
      </c>
      <c r="AF49" s="107" t="s">
        <v>78</v>
      </c>
      <c r="AG49" s="26" t="s">
        <v>114</v>
      </c>
    </row>
    <row r="50" ht="23.1" customHeight="1" spans="1:33">
      <c r="A50" s="5">
        <f t="shared" si="0"/>
        <v>47</v>
      </c>
      <c r="B50" s="5">
        <v>311</v>
      </c>
      <c r="C50" s="6" t="s">
        <v>108</v>
      </c>
      <c r="D50" s="6" t="s">
        <v>69</v>
      </c>
      <c r="E50" s="6" t="s">
        <v>123</v>
      </c>
      <c r="F50" s="6" t="s">
        <v>123</v>
      </c>
      <c r="G50" s="88" t="s">
        <v>52</v>
      </c>
      <c r="H50" s="5" t="s">
        <v>49</v>
      </c>
      <c r="I50" s="5" t="s">
        <v>49</v>
      </c>
      <c r="J50" s="92" t="s">
        <v>43</v>
      </c>
      <c r="K50" s="5"/>
      <c r="L50" s="5"/>
      <c r="M50" s="89" t="str">
        <f t="shared" si="1"/>
        <v>SPIC_JTTG_XXXX_XXXX_02系统实施类_311二级单位集成测试计划及场景_V1.0_20260106</v>
      </c>
      <c r="N50" s="98"/>
      <c r="O50" s="92" t="s">
        <v>43</v>
      </c>
      <c r="P50" s="92" t="s">
        <v>43</v>
      </c>
      <c r="Q50" s="92" t="s">
        <v>43</v>
      </c>
      <c r="R50" s="92" t="s">
        <v>43</v>
      </c>
      <c r="S50" s="92" t="s">
        <v>43</v>
      </c>
      <c r="T50" s="92" t="s">
        <v>43</v>
      </c>
      <c r="U50" s="92" t="s">
        <v>43</v>
      </c>
      <c r="V50" s="92" t="s">
        <v>43</v>
      </c>
      <c r="W50" s="92" t="s">
        <v>43</v>
      </c>
      <c r="X50" s="92" t="s">
        <v>43</v>
      </c>
      <c r="Y50" s="92" t="s">
        <v>43</v>
      </c>
      <c r="Z50" s="92"/>
      <c r="AA50" s="92"/>
      <c r="AB50" s="92"/>
      <c r="AC50" s="16"/>
      <c r="AD50" s="6" t="s">
        <v>44</v>
      </c>
      <c r="AE50" s="93">
        <v>1</v>
      </c>
      <c r="AF50" s="99" t="s">
        <v>71</v>
      </c>
    </row>
    <row r="51" ht="23.1" customHeight="1" spans="1:33">
      <c r="A51" s="5">
        <f t="shared" si="0"/>
        <v>48</v>
      </c>
      <c r="B51" s="5">
        <v>312</v>
      </c>
      <c r="C51" s="6" t="s">
        <v>108</v>
      </c>
      <c r="D51" s="6" t="s">
        <v>69</v>
      </c>
      <c r="E51" s="6" t="s">
        <v>124</v>
      </c>
      <c r="F51" s="6" t="s">
        <v>124</v>
      </c>
      <c r="G51" s="88" t="s">
        <v>67</v>
      </c>
      <c r="H51" s="5" t="s">
        <v>49</v>
      </c>
      <c r="I51" s="5" t="s">
        <v>49</v>
      </c>
      <c r="J51" s="92" t="s">
        <v>43</v>
      </c>
      <c r="K51" s="5"/>
      <c r="L51" s="5"/>
      <c r="M51" s="89" t="str">
        <f t="shared" si="1"/>
        <v>SPIC_JTTG_XXXX_XXXX_02系统实施类_312二级单位集成测试报告_V1.0_20260106</v>
      </c>
      <c r="N51" s="98"/>
      <c r="O51" s="92" t="s">
        <v>43</v>
      </c>
      <c r="P51" s="92" t="s">
        <v>43</v>
      </c>
      <c r="Q51" s="92" t="s">
        <v>43</v>
      </c>
      <c r="R51" s="92" t="s">
        <v>43</v>
      </c>
      <c r="S51" s="92" t="s">
        <v>43</v>
      </c>
      <c r="T51" s="92" t="s">
        <v>43</v>
      </c>
      <c r="U51" s="92" t="s">
        <v>43</v>
      </c>
      <c r="V51" s="92" t="s">
        <v>43</v>
      </c>
      <c r="W51" s="92" t="s">
        <v>43</v>
      </c>
      <c r="X51" s="92" t="s">
        <v>43</v>
      </c>
      <c r="Y51" s="92" t="s">
        <v>43</v>
      </c>
      <c r="Z51" s="92"/>
      <c r="AA51" s="92"/>
      <c r="AB51" s="92"/>
      <c r="AC51" s="16"/>
      <c r="AD51" s="6" t="s">
        <v>44</v>
      </c>
      <c r="AE51" s="93">
        <v>1</v>
      </c>
      <c r="AF51" s="107" t="s">
        <v>78</v>
      </c>
      <c r="AG51" s="26" t="s">
        <v>114</v>
      </c>
    </row>
    <row r="52" ht="23.1" customHeight="1" spans="1:33">
      <c r="A52" s="5">
        <f t="shared" si="0"/>
        <v>49</v>
      </c>
      <c r="B52" s="5">
        <v>313</v>
      </c>
      <c r="C52" s="6" t="s">
        <v>108</v>
      </c>
      <c r="D52" s="6" t="s">
        <v>105</v>
      </c>
      <c r="E52" s="6" t="s">
        <v>125</v>
      </c>
      <c r="F52" s="6" t="s">
        <v>125</v>
      </c>
      <c r="G52" s="88" t="s">
        <v>126</v>
      </c>
      <c r="H52" s="92" t="s">
        <v>43</v>
      </c>
      <c r="I52" s="5" t="s">
        <v>49</v>
      </c>
      <c r="J52" s="5" t="s">
        <v>49</v>
      </c>
      <c r="K52" s="5"/>
      <c r="L52" s="5"/>
      <c r="M52" s="89" t="str">
        <f t="shared" si="1"/>
        <v>SPIC_JTTG_XXXX_XXXX_03技术管理类_313权限角色收集模板_V1.0_20260106</v>
      </c>
      <c r="N52" s="90" t="s">
        <v>31</v>
      </c>
      <c r="O52" s="92" t="s">
        <v>49</v>
      </c>
      <c r="P52" s="92" t="s">
        <v>49</v>
      </c>
      <c r="Q52" s="92" t="s">
        <v>49</v>
      </c>
      <c r="R52" s="92" t="s">
        <v>49</v>
      </c>
      <c r="S52" s="92" t="s">
        <v>49</v>
      </c>
      <c r="T52" s="92" t="s">
        <v>49</v>
      </c>
      <c r="U52" s="92" t="s">
        <v>49</v>
      </c>
      <c r="V52" s="92" t="s">
        <v>49</v>
      </c>
      <c r="W52" s="92" t="s">
        <v>49</v>
      </c>
      <c r="X52" s="92" t="s">
        <v>43</v>
      </c>
      <c r="Y52" s="92" t="s">
        <v>43</v>
      </c>
      <c r="Z52" s="92" t="s">
        <v>49</v>
      </c>
      <c r="AA52" s="92" t="s">
        <v>49</v>
      </c>
      <c r="AB52" s="92" t="s">
        <v>49</v>
      </c>
      <c r="AC52" s="16"/>
      <c r="AD52" s="6" t="s">
        <v>44</v>
      </c>
      <c r="AE52" s="93">
        <v>2</v>
      </c>
      <c r="AF52" s="107" t="s">
        <v>78</v>
      </c>
    </row>
    <row r="53" ht="23.1" customHeight="1" spans="1:33">
      <c r="A53" s="5">
        <f t="shared" si="0"/>
        <v>50</v>
      </c>
      <c r="B53" s="5">
        <v>314</v>
      </c>
      <c r="C53" s="6" t="s">
        <v>108</v>
      </c>
      <c r="D53" s="6" t="s">
        <v>99</v>
      </c>
      <c r="E53" s="6" t="s">
        <v>127</v>
      </c>
      <c r="F53" s="6" t="s">
        <v>127</v>
      </c>
      <c r="G53" s="88" t="s">
        <v>52</v>
      </c>
      <c r="H53" s="5" t="s">
        <v>49</v>
      </c>
      <c r="I53" s="5" t="s">
        <v>49</v>
      </c>
      <c r="J53" s="92" t="s">
        <v>43</v>
      </c>
      <c r="K53" s="5"/>
      <c r="L53" s="5"/>
      <c r="M53" s="89" t="str">
        <f t="shared" si="1"/>
        <v>SPIC_JTTG_XXXX_XXXX_04数据管理类_314静态数据明细_V1.0_20260106</v>
      </c>
      <c r="N53" s="90" t="s">
        <v>98</v>
      </c>
      <c r="O53" s="92" t="s">
        <v>43</v>
      </c>
      <c r="P53" s="92" t="s">
        <v>43</v>
      </c>
      <c r="Q53" s="92" t="s">
        <v>43</v>
      </c>
      <c r="R53" s="92" t="s">
        <v>43</v>
      </c>
      <c r="S53" s="92" t="s">
        <v>43</v>
      </c>
      <c r="T53" s="92" t="s">
        <v>43</v>
      </c>
      <c r="U53" s="92" t="s">
        <v>43</v>
      </c>
      <c r="V53" s="92" t="s">
        <v>43</v>
      </c>
      <c r="W53" s="92" t="s">
        <v>43</v>
      </c>
      <c r="X53" s="92" t="s">
        <v>43</v>
      </c>
      <c r="Y53" s="92" t="s">
        <v>43</v>
      </c>
      <c r="Z53" s="92" t="s">
        <v>49</v>
      </c>
      <c r="AA53" s="92" t="s">
        <v>43</v>
      </c>
      <c r="AB53" s="92" t="s">
        <v>49</v>
      </c>
      <c r="AC53" s="11" t="s">
        <v>128</v>
      </c>
      <c r="AD53" s="6" t="s">
        <v>50</v>
      </c>
      <c r="AE53" s="93" t="s">
        <v>48</v>
      </c>
      <c r="AF53" s="107" t="s">
        <v>78</v>
      </c>
      <c r="AG53" s="26" t="s">
        <v>129</v>
      </c>
    </row>
    <row r="54" ht="23.1" customHeight="1" spans="1:33">
      <c r="A54" s="5">
        <f t="shared" si="0"/>
        <v>51</v>
      </c>
      <c r="B54" s="5">
        <v>315</v>
      </c>
      <c r="C54" s="6" t="s">
        <v>108</v>
      </c>
      <c r="D54" s="6" t="s">
        <v>105</v>
      </c>
      <c r="E54" s="6" t="s">
        <v>130</v>
      </c>
      <c r="F54" s="6" t="s">
        <v>130</v>
      </c>
      <c r="G54" s="88" t="s">
        <v>126</v>
      </c>
      <c r="H54" s="92" t="s">
        <v>43</v>
      </c>
      <c r="I54" s="5" t="s">
        <v>49</v>
      </c>
      <c r="J54" s="5" t="s">
        <v>49</v>
      </c>
      <c r="K54" s="5"/>
      <c r="L54" s="5"/>
      <c r="M54" s="89" t="str">
        <f t="shared" si="1"/>
        <v>SPIC_JTTG_XXXX_XXXX_03技术管理类_315BPM工作流收集模板_V1.0_20260106</v>
      </c>
      <c r="N54" s="90" t="s">
        <v>32</v>
      </c>
      <c r="O54" s="92" t="s">
        <v>49</v>
      </c>
      <c r="P54" s="92" t="s">
        <v>49</v>
      </c>
      <c r="Q54" s="92" t="s">
        <v>49</v>
      </c>
      <c r="R54" s="92" t="s">
        <v>49</v>
      </c>
      <c r="S54" s="92" t="s">
        <v>49</v>
      </c>
      <c r="T54" s="92" t="s">
        <v>49</v>
      </c>
      <c r="U54" s="92" t="s">
        <v>49</v>
      </c>
      <c r="V54" s="92" t="s">
        <v>49</v>
      </c>
      <c r="W54" s="92" t="s">
        <v>49</v>
      </c>
      <c r="X54" s="92" t="s">
        <v>49</v>
      </c>
      <c r="Y54" s="92" t="s">
        <v>43</v>
      </c>
      <c r="Z54" s="92" t="s">
        <v>49</v>
      </c>
      <c r="AA54" s="92" t="s">
        <v>49</v>
      </c>
      <c r="AB54" s="92" t="s">
        <v>49</v>
      </c>
      <c r="AC54" s="11" t="s">
        <v>131</v>
      </c>
      <c r="AD54" s="6" t="s">
        <v>44</v>
      </c>
      <c r="AE54" s="93">
        <v>2</v>
      </c>
      <c r="AF54" s="107" t="s">
        <v>78</v>
      </c>
    </row>
    <row r="55" ht="23.1" customHeight="1" spans="1:33">
      <c r="A55" s="5">
        <f t="shared" si="0"/>
        <v>52</v>
      </c>
      <c r="B55" s="5">
        <v>400</v>
      </c>
      <c r="C55" s="5" t="s">
        <v>132</v>
      </c>
      <c r="D55" s="6" t="s">
        <v>69</v>
      </c>
      <c r="E55" s="6" t="s">
        <v>133</v>
      </c>
      <c r="F55" s="6" t="s">
        <v>133</v>
      </c>
      <c r="G55" s="88" t="s">
        <v>97</v>
      </c>
      <c r="H55" s="92" t="s">
        <v>43</v>
      </c>
      <c r="I55" s="5" t="s">
        <v>49</v>
      </c>
      <c r="J55" s="92" t="s">
        <v>43</v>
      </c>
      <c r="K55" s="5"/>
      <c r="L55" s="5"/>
      <c r="M55" s="89" t="str">
        <f t="shared" si="1"/>
        <v>SPIC_JTTG_XXXX_XXXX_02系统实施类_400项目整体上线切换策略及方案_V1.0_20260106</v>
      </c>
      <c r="N55" s="98"/>
      <c r="O55" s="92" t="s">
        <v>43</v>
      </c>
      <c r="P55" s="92" t="s">
        <v>43</v>
      </c>
      <c r="Q55" s="92" t="s">
        <v>43</v>
      </c>
      <c r="R55" s="92" t="s">
        <v>43</v>
      </c>
      <c r="S55" s="92" t="s">
        <v>43</v>
      </c>
      <c r="T55" s="92" t="s">
        <v>43</v>
      </c>
      <c r="U55" s="92" t="s">
        <v>43</v>
      </c>
      <c r="V55" s="92" t="s">
        <v>43</v>
      </c>
      <c r="W55" s="92" t="s">
        <v>43</v>
      </c>
      <c r="X55" s="92" t="s">
        <v>43</v>
      </c>
      <c r="Y55" s="92" t="s">
        <v>43</v>
      </c>
      <c r="Z55" s="92" t="s">
        <v>43</v>
      </c>
      <c r="AA55" s="92" t="s">
        <v>43</v>
      </c>
      <c r="AB55" s="92"/>
      <c r="AC55" s="11" t="s">
        <v>134</v>
      </c>
      <c r="AD55" s="5" t="s">
        <v>44</v>
      </c>
      <c r="AE55" s="108">
        <v>2</v>
      </c>
      <c r="AF55" s="105" t="s">
        <v>75</v>
      </c>
    </row>
    <row r="56" ht="23.1" customHeight="1" spans="1:33">
      <c r="A56" s="5">
        <f t="shared" si="0"/>
        <v>53</v>
      </c>
      <c r="B56" s="5">
        <v>401</v>
      </c>
      <c r="C56" s="5" t="s">
        <v>132</v>
      </c>
      <c r="D56" s="6" t="s">
        <v>40</v>
      </c>
      <c r="E56" s="92" t="s">
        <v>135</v>
      </c>
      <c r="F56" s="92" t="s">
        <v>135</v>
      </c>
      <c r="G56" s="88" t="s">
        <v>52</v>
      </c>
      <c r="H56" s="92" t="s">
        <v>43</v>
      </c>
      <c r="I56" s="92" t="s">
        <v>43</v>
      </c>
      <c r="J56" s="5" t="s">
        <v>49</v>
      </c>
      <c r="K56" s="5"/>
      <c r="L56" s="5"/>
      <c r="M56" s="89" t="str">
        <f t="shared" si="1"/>
        <v>SPIC_JTTG_XXXX_XXXX_01项目管理类_401共性问题清单_V1.0_20260106</v>
      </c>
      <c r="N56" s="90" t="s">
        <v>35</v>
      </c>
      <c r="O56" s="92" t="s">
        <v>43</v>
      </c>
      <c r="P56" s="92" t="s">
        <v>43</v>
      </c>
      <c r="Q56" s="92" t="s">
        <v>43</v>
      </c>
      <c r="R56" s="92" t="s">
        <v>43</v>
      </c>
      <c r="S56" s="92" t="s">
        <v>43</v>
      </c>
      <c r="T56" s="92" t="s">
        <v>43</v>
      </c>
      <c r="U56" s="92" t="s">
        <v>43</v>
      </c>
      <c r="V56" s="92" t="s">
        <v>43</v>
      </c>
      <c r="W56" s="92" t="s">
        <v>43</v>
      </c>
      <c r="X56" s="92" t="s">
        <v>43</v>
      </c>
      <c r="Y56" s="92" t="s">
        <v>43</v>
      </c>
      <c r="Z56" s="92" t="s">
        <v>43</v>
      </c>
      <c r="AA56" s="92" t="s">
        <v>43</v>
      </c>
      <c r="AB56" s="92" t="s">
        <v>43</v>
      </c>
      <c r="AC56" s="16"/>
      <c r="AD56" s="6" t="s">
        <v>44</v>
      </c>
      <c r="AE56" s="93">
        <v>1</v>
      </c>
      <c r="AF56" s="107" t="s">
        <v>78</v>
      </c>
      <c r="AG56" s="26" t="s">
        <v>136</v>
      </c>
    </row>
    <row r="57" ht="23.1" customHeight="1" spans="1:33">
      <c r="A57" s="5">
        <f t="shared" si="0"/>
        <v>54</v>
      </c>
      <c r="B57" s="5">
        <v>402</v>
      </c>
      <c r="C57" s="5" t="s">
        <v>132</v>
      </c>
      <c r="D57" s="6" t="s">
        <v>69</v>
      </c>
      <c r="E57" s="5" t="s">
        <v>137</v>
      </c>
      <c r="F57" s="5" t="s">
        <v>137</v>
      </c>
      <c r="G57" s="88" t="s">
        <v>67</v>
      </c>
      <c r="H57" s="5" t="s">
        <v>49</v>
      </c>
      <c r="I57" s="5" t="s">
        <v>49</v>
      </c>
      <c r="J57" s="92" t="s">
        <v>43</v>
      </c>
      <c r="K57" s="5"/>
      <c r="L57" s="5"/>
      <c r="M57" s="89" t="str">
        <f t="shared" si="1"/>
        <v>SPIC_JTTG_XXXX_XXXX_02系统实施类_402二级单位上线切换策略_V1.0_20260106</v>
      </c>
      <c r="N57" s="98"/>
      <c r="O57" s="92" t="s">
        <v>43</v>
      </c>
      <c r="P57" s="92" t="s">
        <v>43</v>
      </c>
      <c r="Q57" s="92" t="s">
        <v>43</v>
      </c>
      <c r="R57" s="92" t="s">
        <v>43</v>
      </c>
      <c r="S57" s="92" t="s">
        <v>43</v>
      </c>
      <c r="T57" s="92" t="s">
        <v>43</v>
      </c>
      <c r="U57" s="92" t="s">
        <v>43</v>
      </c>
      <c r="V57" s="92" t="s">
        <v>43</v>
      </c>
      <c r="W57" s="92" t="s">
        <v>43</v>
      </c>
      <c r="X57" s="92" t="s">
        <v>43</v>
      </c>
      <c r="Y57" s="92" t="s">
        <v>43</v>
      </c>
      <c r="Z57" s="92"/>
      <c r="AA57" s="92"/>
      <c r="AB57" s="92"/>
      <c r="AC57" s="16"/>
      <c r="AD57" s="5" t="s">
        <v>44</v>
      </c>
      <c r="AE57" s="108">
        <v>1</v>
      </c>
      <c r="AF57" s="99" t="s">
        <v>71</v>
      </c>
    </row>
    <row r="58" ht="23.1" customHeight="1" spans="1:33">
      <c r="A58" s="5">
        <f t="shared" si="0"/>
        <v>55</v>
      </c>
      <c r="B58" s="5">
        <v>403</v>
      </c>
      <c r="C58" s="5" t="s">
        <v>132</v>
      </c>
      <c r="D58" s="6" t="s">
        <v>40</v>
      </c>
      <c r="E58" s="92" t="s">
        <v>138</v>
      </c>
      <c r="F58" s="92" t="s">
        <v>138</v>
      </c>
      <c r="G58" s="88" t="s">
        <v>52</v>
      </c>
      <c r="H58" s="5" t="s">
        <v>49</v>
      </c>
      <c r="I58" s="5" t="s">
        <v>49</v>
      </c>
      <c r="J58" s="92" t="s">
        <v>43</v>
      </c>
      <c r="K58" s="5"/>
      <c r="L58" s="5"/>
      <c r="M58" s="89" t="str">
        <f t="shared" si="1"/>
        <v>SPIC_JTTG_XXXX_XXXX_01项目管理类_403个性问题清单_V1.0_20260106</v>
      </c>
      <c r="N58" s="98"/>
      <c r="O58" s="92" t="s">
        <v>43</v>
      </c>
      <c r="P58" s="92" t="s">
        <v>43</v>
      </c>
      <c r="Q58" s="92" t="s">
        <v>43</v>
      </c>
      <c r="R58" s="92" t="s">
        <v>43</v>
      </c>
      <c r="S58" s="92" t="s">
        <v>43</v>
      </c>
      <c r="T58" s="92" t="s">
        <v>43</v>
      </c>
      <c r="U58" s="92" t="s">
        <v>43</v>
      </c>
      <c r="V58" s="92" t="s">
        <v>43</v>
      </c>
      <c r="W58" s="92" t="s">
        <v>43</v>
      </c>
      <c r="X58" s="92" t="s">
        <v>43</v>
      </c>
      <c r="Y58" s="92" t="s">
        <v>43</v>
      </c>
      <c r="Z58" s="92"/>
      <c r="AA58" s="92"/>
      <c r="AB58" s="92"/>
      <c r="AC58" s="16"/>
      <c r="AD58" s="6" t="s">
        <v>44</v>
      </c>
      <c r="AE58" s="93">
        <v>1</v>
      </c>
      <c r="AF58" s="105" t="s">
        <v>78</v>
      </c>
    </row>
    <row r="59" ht="23.1" customHeight="1" spans="1:33">
      <c r="A59" s="5">
        <f t="shared" si="0"/>
        <v>56</v>
      </c>
      <c r="B59" s="5">
        <v>404</v>
      </c>
      <c r="C59" s="5" t="s">
        <v>132</v>
      </c>
      <c r="D59" s="6" t="s">
        <v>69</v>
      </c>
      <c r="E59" s="6" t="s">
        <v>139</v>
      </c>
      <c r="F59" s="6" t="s">
        <v>139</v>
      </c>
      <c r="G59" s="88" t="s">
        <v>52</v>
      </c>
      <c r="H59" s="92" t="s">
        <v>43</v>
      </c>
      <c r="I59" s="5" t="s">
        <v>49</v>
      </c>
      <c r="J59" s="92" t="s">
        <v>43</v>
      </c>
      <c r="K59" s="5"/>
      <c r="L59" s="5"/>
      <c r="M59" s="89" t="str">
        <f t="shared" si="1"/>
        <v>SPIC_JTTG_XXXX_XXXX_02系统实施类_404UAT测试计划及场景_V1.0_20260106</v>
      </c>
      <c r="N59" s="98" t="s">
        <v>35</v>
      </c>
      <c r="O59" s="92" t="s">
        <v>43</v>
      </c>
      <c r="P59" s="92" t="s">
        <v>43</v>
      </c>
      <c r="Q59" s="92" t="s">
        <v>43</v>
      </c>
      <c r="R59" s="92" t="s">
        <v>43</v>
      </c>
      <c r="S59" s="92" t="s">
        <v>43</v>
      </c>
      <c r="T59" s="92" t="s">
        <v>43</v>
      </c>
      <c r="U59" s="92" t="s">
        <v>43</v>
      </c>
      <c r="V59" s="92" t="s">
        <v>43</v>
      </c>
      <c r="W59" s="92" t="s">
        <v>43</v>
      </c>
      <c r="X59" s="92" t="s">
        <v>43</v>
      </c>
      <c r="Y59" s="92" t="s">
        <v>43</v>
      </c>
      <c r="Z59" s="92"/>
      <c r="AA59" s="92"/>
      <c r="AB59" s="92" t="s">
        <v>49</v>
      </c>
      <c r="AC59" s="16"/>
      <c r="AD59" s="5" t="s">
        <v>44</v>
      </c>
      <c r="AE59" s="108">
        <v>1</v>
      </c>
      <c r="AF59" s="99" t="s">
        <v>71</v>
      </c>
    </row>
    <row r="60" ht="23.1" customHeight="1" spans="1:33">
      <c r="A60" s="5">
        <f t="shared" si="0"/>
        <v>57</v>
      </c>
      <c r="B60" s="5">
        <v>405</v>
      </c>
      <c r="C60" s="5" t="s">
        <v>132</v>
      </c>
      <c r="D60" s="6" t="s">
        <v>69</v>
      </c>
      <c r="E60" s="5" t="s">
        <v>140</v>
      </c>
      <c r="F60" s="5" t="s">
        <v>140</v>
      </c>
      <c r="G60" s="88" t="s">
        <v>67</v>
      </c>
      <c r="H60" s="92" t="s">
        <v>43</v>
      </c>
      <c r="I60" s="5" t="s">
        <v>49</v>
      </c>
      <c r="J60" s="92" t="s">
        <v>43</v>
      </c>
      <c r="K60" s="5"/>
      <c r="L60" s="5"/>
      <c r="M60" s="89" t="str">
        <f t="shared" si="1"/>
        <v>SPIC_JTTG_XXXX_XXXX_02系统实施类_405UAT测试报告_V1.0_20260106</v>
      </c>
      <c r="N60" s="98" t="s">
        <v>35</v>
      </c>
      <c r="O60" s="92" t="s">
        <v>43</v>
      </c>
      <c r="P60" s="92" t="s">
        <v>43</v>
      </c>
      <c r="Q60" s="92" t="s">
        <v>43</v>
      </c>
      <c r="R60" s="92" t="s">
        <v>43</v>
      </c>
      <c r="S60" s="92" t="s">
        <v>43</v>
      </c>
      <c r="T60" s="92" t="s">
        <v>43</v>
      </c>
      <c r="U60" s="92" t="s">
        <v>43</v>
      </c>
      <c r="V60" s="92" t="s">
        <v>43</v>
      </c>
      <c r="W60" s="92" t="s">
        <v>43</v>
      </c>
      <c r="X60" s="92" t="s">
        <v>43</v>
      </c>
      <c r="Y60" s="92" t="s">
        <v>43</v>
      </c>
      <c r="Z60" s="92"/>
      <c r="AA60" s="92"/>
      <c r="AB60" s="92" t="s">
        <v>49</v>
      </c>
      <c r="AC60" s="16"/>
      <c r="AD60" s="5" t="s">
        <v>44</v>
      </c>
      <c r="AE60" s="108">
        <v>1</v>
      </c>
      <c r="AF60" s="107" t="s">
        <v>78</v>
      </c>
      <c r="AG60" s="26" t="s">
        <v>141</v>
      </c>
    </row>
    <row r="61" ht="23.1" customHeight="1" spans="1:33">
      <c r="A61" s="5">
        <f t="shared" si="0"/>
        <v>58</v>
      </c>
      <c r="B61" s="5">
        <v>406</v>
      </c>
      <c r="C61" s="5" t="s">
        <v>132</v>
      </c>
      <c r="D61" s="6" t="s">
        <v>58</v>
      </c>
      <c r="E61" s="5" t="s">
        <v>142</v>
      </c>
      <c r="F61" s="5" t="s">
        <v>142</v>
      </c>
      <c r="G61" s="88" t="s">
        <v>67</v>
      </c>
      <c r="H61" s="92" t="s">
        <v>43</v>
      </c>
      <c r="I61" s="5" t="s">
        <v>49</v>
      </c>
      <c r="J61" s="92" t="s">
        <v>43</v>
      </c>
      <c r="K61" s="5"/>
      <c r="L61" s="5"/>
      <c r="M61" s="89" t="str">
        <f t="shared" si="1"/>
        <v>SPIC_JTTG_XXXX_XXXX_05人员培训类_406最终用户培训总结_V1.0_20260106</v>
      </c>
      <c r="N61" s="98"/>
      <c r="O61" s="92" t="s">
        <v>43</v>
      </c>
      <c r="P61" s="92" t="s">
        <v>43</v>
      </c>
      <c r="Q61" s="92" t="s">
        <v>43</v>
      </c>
      <c r="R61" s="92" t="s">
        <v>43</v>
      </c>
      <c r="S61" s="92" t="s">
        <v>43</v>
      </c>
      <c r="T61" s="92" t="s">
        <v>43</v>
      </c>
      <c r="U61" s="92" t="s">
        <v>43</v>
      </c>
      <c r="V61" s="92" t="s">
        <v>43</v>
      </c>
      <c r="W61" s="92" t="s">
        <v>43</v>
      </c>
      <c r="X61" s="92" t="s">
        <v>43</v>
      </c>
      <c r="Y61" s="92" t="s">
        <v>43</v>
      </c>
      <c r="Z61" s="92"/>
      <c r="AA61" s="92"/>
      <c r="AB61" s="92"/>
      <c r="AC61" s="16"/>
      <c r="AD61" s="6" t="s">
        <v>44</v>
      </c>
      <c r="AE61" s="93">
        <v>1</v>
      </c>
      <c r="AF61" s="105" t="s">
        <v>75</v>
      </c>
    </row>
    <row r="62" ht="23.1" customHeight="1" spans="1:33">
      <c r="A62" s="5">
        <f t="shared" si="0"/>
        <v>59</v>
      </c>
      <c r="B62" s="5">
        <v>407</v>
      </c>
      <c r="C62" s="5" t="s">
        <v>132</v>
      </c>
      <c r="D62" s="6" t="s">
        <v>40</v>
      </c>
      <c r="E62" s="6" t="s">
        <v>143</v>
      </c>
      <c r="F62" s="6" t="s">
        <v>143</v>
      </c>
      <c r="G62" s="88" t="s">
        <v>126</v>
      </c>
      <c r="H62" s="92" t="s">
        <v>43</v>
      </c>
      <c r="I62" s="5" t="s">
        <v>49</v>
      </c>
      <c r="J62" s="92" t="s">
        <v>43</v>
      </c>
      <c r="K62" s="5"/>
      <c r="L62" s="5"/>
      <c r="M62" s="89" t="str">
        <f t="shared" si="1"/>
        <v>SPIC_JTTG_XXXX_XXXX_01项目管理类_407最终用户账号及授权信息收集确认单_V1.0_20260106</v>
      </c>
      <c r="N62" s="90" t="s">
        <v>31</v>
      </c>
      <c r="O62" s="92" t="s">
        <v>43</v>
      </c>
      <c r="P62" s="92" t="s">
        <v>43</v>
      </c>
      <c r="Q62" s="92" t="s">
        <v>43</v>
      </c>
      <c r="R62" s="92" t="s">
        <v>43</v>
      </c>
      <c r="S62" s="92" t="s">
        <v>43</v>
      </c>
      <c r="T62" s="92" t="s">
        <v>43</v>
      </c>
      <c r="U62" s="92" t="s">
        <v>43</v>
      </c>
      <c r="V62" s="92" t="s">
        <v>43</v>
      </c>
      <c r="W62" s="92" t="s">
        <v>43</v>
      </c>
      <c r="X62" s="92" t="s">
        <v>43</v>
      </c>
      <c r="Y62" s="92" t="s">
        <v>43</v>
      </c>
      <c r="Z62" s="92"/>
      <c r="AA62" s="92"/>
      <c r="AB62" s="92" t="s">
        <v>49</v>
      </c>
      <c r="AC62" s="11" t="s">
        <v>144</v>
      </c>
      <c r="AD62" s="6" t="s">
        <v>44</v>
      </c>
      <c r="AE62" s="93">
        <v>5</v>
      </c>
      <c r="AF62" s="105" t="s">
        <v>78</v>
      </c>
      <c r="AG62" s="26" t="s">
        <v>114</v>
      </c>
    </row>
    <row r="63" ht="23.1" customHeight="1" spans="1:33">
      <c r="A63" s="5">
        <f t="shared" si="0"/>
        <v>60</v>
      </c>
      <c r="B63" s="5">
        <v>408</v>
      </c>
      <c r="C63" s="5" t="s">
        <v>132</v>
      </c>
      <c r="D63" s="6" t="s">
        <v>99</v>
      </c>
      <c r="E63" s="5" t="s">
        <v>145</v>
      </c>
      <c r="F63" s="5" t="s">
        <v>145</v>
      </c>
      <c r="G63" s="88" t="s">
        <v>67</v>
      </c>
      <c r="H63" s="92" t="s">
        <v>43</v>
      </c>
      <c r="I63" s="5" t="s">
        <v>49</v>
      </c>
      <c r="J63" s="92" t="s">
        <v>43</v>
      </c>
      <c r="K63" s="5"/>
      <c r="L63" s="5"/>
      <c r="M63" s="89" t="str">
        <f t="shared" si="1"/>
        <v>SPIC_JTTG_XXXX_XXXX_04数据管理类_408静态、动态数据签署报告_V1.0_20260106</v>
      </c>
      <c r="N63" s="90" t="s">
        <v>98</v>
      </c>
      <c r="O63" s="92" t="s">
        <v>43</v>
      </c>
      <c r="P63" s="92" t="s">
        <v>43</v>
      </c>
      <c r="Q63" s="92" t="s">
        <v>43</v>
      </c>
      <c r="R63" s="92" t="s">
        <v>43</v>
      </c>
      <c r="S63" s="92" t="s">
        <v>43</v>
      </c>
      <c r="T63" s="92" t="s">
        <v>43</v>
      </c>
      <c r="U63" s="92" t="s">
        <v>43</v>
      </c>
      <c r="V63" s="92" t="s">
        <v>43</v>
      </c>
      <c r="W63" s="92" t="s">
        <v>43</v>
      </c>
      <c r="X63" s="92" t="s">
        <v>43</v>
      </c>
      <c r="Y63" s="92" t="s">
        <v>43</v>
      </c>
      <c r="Z63" s="92"/>
      <c r="AA63" s="92"/>
      <c r="AB63" s="92" t="s">
        <v>49</v>
      </c>
      <c r="AC63" s="11" t="s">
        <v>146</v>
      </c>
      <c r="AD63" s="6" t="s">
        <v>44</v>
      </c>
      <c r="AE63" s="93">
        <v>2</v>
      </c>
      <c r="AF63" s="107" t="s">
        <v>78</v>
      </c>
      <c r="AG63" s="26" t="s">
        <v>114</v>
      </c>
    </row>
    <row r="64" ht="23.1" customHeight="1" spans="1:33">
      <c r="A64" s="5">
        <f t="shared" si="0"/>
        <v>61</v>
      </c>
      <c r="B64" s="5">
        <v>409</v>
      </c>
      <c r="C64" s="5" t="s">
        <v>132</v>
      </c>
      <c r="D64" s="6" t="s">
        <v>40</v>
      </c>
      <c r="E64" s="5" t="s">
        <v>147</v>
      </c>
      <c r="F64" s="5" t="s">
        <v>147</v>
      </c>
      <c r="G64" s="88" t="s">
        <v>67</v>
      </c>
      <c r="H64" s="92"/>
      <c r="I64" s="5"/>
      <c r="J64" s="5" t="s">
        <v>43</v>
      </c>
      <c r="K64" s="5"/>
      <c r="L64" s="5"/>
      <c r="M64" s="89" t="str">
        <f t="shared" si="1"/>
        <v>SPIC_JTTG_XXXX_XXXX_01项目管理类_409上线开账准备及开账申请_V1.0_20260106</v>
      </c>
      <c r="N64" s="90" t="s">
        <v>35</v>
      </c>
      <c r="O64" s="92" t="s">
        <v>49</v>
      </c>
      <c r="P64" s="92" t="s">
        <v>49</v>
      </c>
      <c r="Q64" s="92" t="s">
        <v>49</v>
      </c>
      <c r="R64" s="92" t="s">
        <v>49</v>
      </c>
      <c r="S64" s="92" t="s">
        <v>49</v>
      </c>
      <c r="T64" s="92" t="s">
        <v>49</v>
      </c>
      <c r="U64" s="92" t="s">
        <v>49</v>
      </c>
      <c r="V64" s="92" t="s">
        <v>49</v>
      </c>
      <c r="W64" s="92" t="s">
        <v>49</v>
      </c>
      <c r="X64" s="92" t="s">
        <v>49</v>
      </c>
      <c r="Y64" s="92" t="s">
        <v>49</v>
      </c>
      <c r="Z64" s="92" t="s">
        <v>49</v>
      </c>
      <c r="AA64" s="92" t="s">
        <v>49</v>
      </c>
      <c r="AB64" s="92" t="s">
        <v>43</v>
      </c>
      <c r="AC64" s="16"/>
      <c r="AD64" s="6" t="s">
        <v>44</v>
      </c>
      <c r="AE64" s="93">
        <v>2</v>
      </c>
      <c r="AF64" s="107" t="s">
        <v>78</v>
      </c>
      <c r="AG64" s="26" t="s">
        <v>72</v>
      </c>
    </row>
    <row r="65" ht="23.1" customHeight="1" spans="1:33">
      <c r="A65" s="5">
        <f t="shared" si="0"/>
        <v>62</v>
      </c>
      <c r="B65" s="5">
        <v>410</v>
      </c>
      <c r="C65" s="5" t="s">
        <v>132</v>
      </c>
      <c r="D65" s="6" t="s">
        <v>40</v>
      </c>
      <c r="E65" s="5" t="s">
        <v>148</v>
      </c>
      <c r="F65" s="6" t="s">
        <v>149</v>
      </c>
      <c r="G65" s="88" t="s">
        <v>67</v>
      </c>
      <c r="H65" s="92" t="s">
        <v>43</v>
      </c>
      <c r="I65" s="5"/>
      <c r="J65" s="5"/>
      <c r="K65" s="5"/>
      <c r="L65" s="5"/>
      <c r="M65" s="89" t="str">
        <f t="shared" si="1"/>
        <v>SPIC_JTTG_XXXX_XXXX_01项目管理类_410上线开账准备及开账申请检查评估报告_V1.0_20260106</v>
      </c>
      <c r="N65" s="90" t="s">
        <v>35</v>
      </c>
      <c r="O65" s="92" t="s">
        <v>49</v>
      </c>
      <c r="P65" s="92" t="s">
        <v>49</v>
      </c>
      <c r="Q65" s="92" t="s">
        <v>49</v>
      </c>
      <c r="R65" s="92" t="s">
        <v>49</v>
      </c>
      <c r="S65" s="92" t="s">
        <v>49</v>
      </c>
      <c r="T65" s="92" t="s">
        <v>49</v>
      </c>
      <c r="U65" s="92" t="s">
        <v>49</v>
      </c>
      <c r="V65" s="92" t="s">
        <v>49</v>
      </c>
      <c r="W65" s="92" t="s">
        <v>49</v>
      </c>
      <c r="X65" s="92" t="s">
        <v>49</v>
      </c>
      <c r="Y65" s="92" t="s">
        <v>49</v>
      </c>
      <c r="Z65" s="92" t="s">
        <v>49</v>
      </c>
      <c r="AA65" s="92" t="s">
        <v>49</v>
      </c>
      <c r="AB65" s="92" t="s">
        <v>43</v>
      </c>
      <c r="AC65" s="11"/>
      <c r="AD65" s="6" t="s">
        <v>44</v>
      </c>
      <c r="AE65" s="93">
        <v>1</v>
      </c>
      <c r="AF65" s="107" t="s">
        <v>78</v>
      </c>
      <c r="AG65" s="26" t="s">
        <v>72</v>
      </c>
    </row>
    <row r="66" ht="23.1" customHeight="1" spans="1:33">
      <c r="A66" s="5">
        <f t="shared" si="0"/>
        <v>63</v>
      </c>
      <c r="B66" s="5">
        <v>411</v>
      </c>
      <c r="C66" s="5" t="s">
        <v>132</v>
      </c>
      <c r="D66" s="6" t="s">
        <v>58</v>
      </c>
      <c r="E66" s="5" t="s">
        <v>150</v>
      </c>
      <c r="F66" s="5" t="s">
        <v>150</v>
      </c>
      <c r="G66" s="88" t="s">
        <v>67</v>
      </c>
      <c r="H66" s="92" t="s">
        <v>43</v>
      </c>
      <c r="I66" s="5"/>
      <c r="J66" s="5"/>
      <c r="K66" s="5"/>
      <c r="L66" s="5"/>
      <c r="M66" s="89" t="str">
        <f t="shared" si="1"/>
        <v>SPIC_JTTG_XXXX_XXXX_05人员培训类_411操作手册_V1.0_20260106</v>
      </c>
      <c r="N66" s="98"/>
      <c r="O66" s="92" t="s">
        <v>43</v>
      </c>
      <c r="P66" s="92" t="s">
        <v>43</v>
      </c>
      <c r="Q66" s="92" t="s">
        <v>43</v>
      </c>
      <c r="R66" s="92" t="s">
        <v>43</v>
      </c>
      <c r="S66" s="92" t="s">
        <v>43</v>
      </c>
      <c r="T66" s="92" t="s">
        <v>43</v>
      </c>
      <c r="U66" s="92" t="s">
        <v>43</v>
      </c>
      <c r="V66" s="92" t="s">
        <v>43</v>
      </c>
      <c r="W66" s="92" t="s">
        <v>43</v>
      </c>
      <c r="X66" s="92" t="s">
        <v>43</v>
      </c>
      <c r="Y66" s="92" t="s">
        <v>43</v>
      </c>
      <c r="Z66" s="109"/>
      <c r="AA66" s="109"/>
      <c r="AB66" s="109"/>
      <c r="AC66" s="16"/>
      <c r="AD66" s="6" t="s">
        <v>44</v>
      </c>
      <c r="AE66" s="93">
        <v>1</v>
      </c>
      <c r="AF66" s="99" t="s">
        <v>71</v>
      </c>
      <c r="AG66" s="26" t="s">
        <v>112</v>
      </c>
    </row>
    <row r="67" ht="23.1" customHeight="1" spans="1:33">
      <c r="A67" s="5">
        <f t="shared" si="0"/>
        <v>64</v>
      </c>
      <c r="B67" s="5">
        <v>412</v>
      </c>
      <c r="C67" s="5" t="s">
        <v>132</v>
      </c>
      <c r="D67" s="6" t="s">
        <v>58</v>
      </c>
      <c r="E67" s="6" t="s">
        <v>151</v>
      </c>
      <c r="F67" s="6" t="s">
        <v>151</v>
      </c>
      <c r="G67" s="88" t="s">
        <v>67</v>
      </c>
      <c r="H67" s="92" t="s">
        <v>43</v>
      </c>
      <c r="I67" s="5"/>
      <c r="J67" s="5"/>
      <c r="K67" s="5"/>
      <c r="L67" s="5"/>
      <c r="M67" s="89" t="str">
        <f t="shared" si="1"/>
        <v>SPIC_JTTG_XXXX_XXXX_05人员培训类_412考试试卷_V1.0_20260106</v>
      </c>
      <c r="N67" s="98"/>
      <c r="O67" s="92" t="s">
        <v>43</v>
      </c>
      <c r="P67" s="92" t="s">
        <v>43</v>
      </c>
      <c r="Q67" s="92" t="s">
        <v>43</v>
      </c>
      <c r="R67" s="92" t="s">
        <v>43</v>
      </c>
      <c r="S67" s="92" t="s">
        <v>43</v>
      </c>
      <c r="T67" s="92" t="s">
        <v>43</v>
      </c>
      <c r="U67" s="92" t="s">
        <v>43</v>
      </c>
      <c r="V67" s="92" t="s">
        <v>43</v>
      </c>
      <c r="W67" s="92" t="s">
        <v>43</v>
      </c>
      <c r="X67" s="92" t="s">
        <v>43</v>
      </c>
      <c r="Y67" s="92" t="s">
        <v>43</v>
      </c>
      <c r="Z67" s="109"/>
      <c r="AA67" s="109"/>
      <c r="AB67" s="109"/>
      <c r="AC67" s="16"/>
      <c r="AD67" s="6" t="s">
        <v>44</v>
      </c>
      <c r="AE67" s="93">
        <v>1</v>
      </c>
      <c r="AF67" s="107" t="s">
        <v>78</v>
      </c>
    </row>
    <row r="68" ht="23.1" customHeight="1" spans="1:33">
      <c r="A68" s="5">
        <f>ROW()-3</f>
        <v>65</v>
      </c>
      <c r="B68" s="5">
        <v>413</v>
      </c>
      <c r="C68" s="5" t="s">
        <v>132</v>
      </c>
      <c r="D68" s="6" t="s">
        <v>58</v>
      </c>
      <c r="E68" s="5" t="s">
        <v>152</v>
      </c>
      <c r="F68" s="5" t="s">
        <v>152</v>
      </c>
      <c r="G68" s="88" t="s">
        <v>153</v>
      </c>
      <c r="H68" s="92" t="s">
        <v>43</v>
      </c>
      <c r="I68" s="5"/>
      <c r="J68" s="5"/>
      <c r="K68" s="5"/>
      <c r="L68" s="5"/>
      <c r="M68" s="89" t="str">
        <f>_xlfn.TEXTJOIN("_",1,"SPIC_JTTG_XXXX_XXXX",D68,B68&amp;F68,"V1.0_20260106")</f>
        <v>SPIC_JTTG_XXXX_XXXX_05人员培训类_413培训录屏_V1.0_20260106</v>
      </c>
      <c r="N68" s="98"/>
      <c r="O68" s="92" t="s">
        <v>43</v>
      </c>
      <c r="P68" s="92" t="s">
        <v>43</v>
      </c>
      <c r="Q68" s="92" t="s">
        <v>43</v>
      </c>
      <c r="R68" s="92" t="s">
        <v>43</v>
      </c>
      <c r="S68" s="92" t="s">
        <v>43</v>
      </c>
      <c r="T68" s="92" t="s">
        <v>43</v>
      </c>
      <c r="U68" s="92" t="s">
        <v>43</v>
      </c>
      <c r="V68" s="92" t="s">
        <v>43</v>
      </c>
      <c r="W68" s="92" t="s">
        <v>43</v>
      </c>
      <c r="X68" s="92" t="s">
        <v>43</v>
      </c>
      <c r="Y68" s="92" t="s">
        <v>43</v>
      </c>
      <c r="Z68" s="109"/>
      <c r="AA68" s="109"/>
      <c r="AB68" s="109"/>
      <c r="AC68" s="16"/>
      <c r="AD68" s="6" t="s">
        <v>44</v>
      </c>
      <c r="AE68" s="93">
        <v>3</v>
      </c>
      <c r="AF68" s="107" t="s">
        <v>78</v>
      </c>
    </row>
    <row r="69" ht="23.1" customHeight="1" spans="1:33">
      <c r="A69" s="5">
        <f t="shared" ref="A69:A124" si="2">ROW()-3</f>
        <v>66</v>
      </c>
      <c r="B69" s="5">
        <v>414</v>
      </c>
      <c r="C69" s="5" t="s">
        <v>132</v>
      </c>
      <c r="D69" s="6" t="s">
        <v>105</v>
      </c>
      <c r="E69" s="6" t="s">
        <v>154</v>
      </c>
      <c r="F69" s="6" t="s">
        <v>154</v>
      </c>
      <c r="G69" s="88" t="s">
        <v>67</v>
      </c>
      <c r="H69" s="92" t="s">
        <v>43</v>
      </c>
      <c r="I69" s="5"/>
      <c r="J69" s="5"/>
      <c r="K69" s="5"/>
      <c r="L69" s="5"/>
      <c r="M69" s="89" t="str">
        <f>_xlfn.TEXTJOIN("_",1,"SPIC_JTTG_XXXX_XXXX",D69,B69&amp;F69,"V1.0_20260106")</f>
        <v>SPIC_JTTG_XXXX_XXXX_03技术管理类_414性能测试方案_V1.0_20260106</v>
      </c>
      <c r="N69" s="98"/>
      <c r="O69" s="92" t="s">
        <v>49</v>
      </c>
      <c r="P69" s="92" t="s">
        <v>49</v>
      </c>
      <c r="Q69" s="92" t="s">
        <v>49</v>
      </c>
      <c r="R69" s="92" t="s">
        <v>49</v>
      </c>
      <c r="S69" s="92" t="s">
        <v>49</v>
      </c>
      <c r="T69" s="92" t="s">
        <v>49</v>
      </c>
      <c r="U69" s="92" t="s">
        <v>49</v>
      </c>
      <c r="V69" s="92" t="s">
        <v>49</v>
      </c>
      <c r="W69" s="92" t="s">
        <v>49</v>
      </c>
      <c r="X69" s="92" t="s">
        <v>49</v>
      </c>
      <c r="Y69" s="92" t="s">
        <v>49</v>
      </c>
      <c r="Z69" s="92" t="s">
        <v>43</v>
      </c>
      <c r="AA69" s="92" t="s">
        <v>49</v>
      </c>
      <c r="AB69" s="92"/>
      <c r="AC69" s="16"/>
      <c r="AD69" s="5" t="s">
        <v>44</v>
      </c>
      <c r="AE69" s="108">
        <v>1</v>
      </c>
      <c r="AF69" s="105" t="s">
        <v>75</v>
      </c>
      <c r="AG69" s="26"/>
    </row>
    <row r="70" ht="23.1" customHeight="1" spans="1:33">
      <c r="A70" s="5">
        <f t="shared" si="2"/>
        <v>67</v>
      </c>
      <c r="B70" s="5">
        <v>415</v>
      </c>
      <c r="C70" s="5" t="s">
        <v>132</v>
      </c>
      <c r="D70" s="6" t="s">
        <v>105</v>
      </c>
      <c r="E70" s="6" t="s">
        <v>155</v>
      </c>
      <c r="F70" s="6" t="s">
        <v>155</v>
      </c>
      <c r="G70" s="88" t="s">
        <v>67</v>
      </c>
      <c r="H70" s="92" t="s">
        <v>43</v>
      </c>
      <c r="I70" s="5"/>
      <c r="J70" s="5"/>
      <c r="K70" s="5"/>
      <c r="L70" s="5"/>
      <c r="M70" s="89" t="str">
        <f>_xlfn.TEXTJOIN("_",1,"SPIC_JTTG_XXXX_XXXX",D70,B70&amp;F70,"V1.0_20260106")</f>
        <v>SPIC_JTTG_XXXX_XXXX_03技术管理类_415性能测试报告_V1.0_20260106</v>
      </c>
      <c r="N70" s="98"/>
      <c r="O70" s="92" t="s">
        <v>43</v>
      </c>
      <c r="P70" s="92" t="s">
        <v>43</v>
      </c>
      <c r="Q70" s="92" t="s">
        <v>43</v>
      </c>
      <c r="R70" s="92" t="s">
        <v>43</v>
      </c>
      <c r="S70" s="92" t="s">
        <v>43</v>
      </c>
      <c r="T70" s="92" t="s">
        <v>43</v>
      </c>
      <c r="U70" s="92" t="s">
        <v>43</v>
      </c>
      <c r="V70" s="92" t="s">
        <v>43</v>
      </c>
      <c r="W70" s="92" t="s">
        <v>43</v>
      </c>
      <c r="X70" s="92" t="s">
        <v>43</v>
      </c>
      <c r="Y70" s="92" t="s">
        <v>43</v>
      </c>
      <c r="Z70" s="92" t="s">
        <v>43</v>
      </c>
      <c r="AA70" s="109"/>
      <c r="AB70" s="92" t="s">
        <v>49</v>
      </c>
      <c r="AC70" s="11" t="s">
        <v>156</v>
      </c>
      <c r="AD70" s="5" t="s">
        <v>44</v>
      </c>
      <c r="AE70" s="108">
        <v>1</v>
      </c>
      <c r="AF70" s="107" t="s">
        <v>78</v>
      </c>
      <c r="AG70" s="26" t="s">
        <v>72</v>
      </c>
    </row>
    <row r="71" ht="23.1" customHeight="1" spans="1:33">
      <c r="A71" s="5">
        <f t="shared" si="2"/>
        <v>68</v>
      </c>
      <c r="B71" s="5">
        <v>416</v>
      </c>
      <c r="C71" s="5" t="s">
        <v>132</v>
      </c>
      <c r="D71" s="6" t="s">
        <v>105</v>
      </c>
      <c r="E71" s="6" t="s">
        <v>157</v>
      </c>
      <c r="F71" s="6" t="s">
        <v>157</v>
      </c>
      <c r="G71" s="88" t="s">
        <v>67</v>
      </c>
      <c r="H71" s="92" t="s">
        <v>43</v>
      </c>
      <c r="I71" s="5"/>
      <c r="J71" s="92" t="s">
        <v>43</v>
      </c>
      <c r="K71" s="5"/>
      <c r="L71" s="5"/>
      <c r="M71" s="89" t="str">
        <f>_xlfn.TEXTJOIN("_",1,"SPIC_JTTG_XXXX_XXXX",D71,B71&amp;F71,"V1.0_20260106")</f>
        <v>SPIC_JTTG_XXXX_XXXX_03技术管理类_416系统应急预案_V1.0_20260106</v>
      </c>
      <c r="N71" s="98"/>
      <c r="O71" s="92" t="s">
        <v>43</v>
      </c>
      <c r="P71" s="92" t="s">
        <v>43</v>
      </c>
      <c r="Q71" s="92" t="s">
        <v>43</v>
      </c>
      <c r="R71" s="92" t="s">
        <v>43</v>
      </c>
      <c r="S71" s="92" t="s">
        <v>43</v>
      </c>
      <c r="T71" s="92" t="s">
        <v>43</v>
      </c>
      <c r="U71" s="92" t="s">
        <v>43</v>
      </c>
      <c r="V71" s="92" t="s">
        <v>43</v>
      </c>
      <c r="W71" s="92" t="s">
        <v>43</v>
      </c>
      <c r="X71" s="92" t="s">
        <v>43</v>
      </c>
      <c r="Y71" s="92" t="s">
        <v>43</v>
      </c>
      <c r="Z71" s="92" t="s">
        <v>43</v>
      </c>
      <c r="AA71" s="92" t="s">
        <v>43</v>
      </c>
      <c r="AB71" s="92" t="s">
        <v>49</v>
      </c>
      <c r="AC71" s="16"/>
      <c r="AD71" s="5" t="s">
        <v>44</v>
      </c>
      <c r="AE71" s="108">
        <v>1</v>
      </c>
      <c r="AF71" s="105" t="s">
        <v>75</v>
      </c>
    </row>
    <row r="72" ht="23.1" customHeight="1" spans="1:33">
      <c r="A72" s="5">
        <f t="shared" si="2"/>
        <v>69</v>
      </c>
      <c r="B72" s="5">
        <v>417</v>
      </c>
      <c r="C72" s="5" t="s">
        <v>132</v>
      </c>
      <c r="D72" s="6" t="s">
        <v>99</v>
      </c>
      <c r="E72" s="6" t="s">
        <v>158</v>
      </c>
      <c r="F72" s="6" t="s">
        <v>158</v>
      </c>
      <c r="G72" s="88" t="s">
        <v>67</v>
      </c>
      <c r="H72" s="92" t="s">
        <v>43</v>
      </c>
      <c r="I72" s="5"/>
      <c r="J72" s="92" t="s">
        <v>43</v>
      </c>
      <c r="K72" s="5"/>
      <c r="L72" s="5"/>
      <c r="M72" s="89" t="str">
        <f>_xlfn.TEXTJOIN("_",1,"SPIC_JTTG_XXXX_XXXX",D72,B72&amp;F72,"V1.0_20260106")</f>
        <v>SPIC_JTTG_XXXX_XXXX_04数据管理类_417数据备份及恢复方案_V1.0_20260106</v>
      </c>
      <c r="N72" s="90" t="s">
        <v>98</v>
      </c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109"/>
      <c r="AA72" s="92" t="s">
        <v>43</v>
      </c>
      <c r="AB72" s="92" t="s">
        <v>49</v>
      </c>
      <c r="AC72" s="16"/>
      <c r="AD72" s="6" t="s">
        <v>50</v>
      </c>
      <c r="AE72" s="93" t="s">
        <v>48</v>
      </c>
      <c r="AF72" s="105" t="s">
        <v>75</v>
      </c>
    </row>
    <row r="73" ht="23.1" customHeight="1" spans="1:33">
      <c r="A73" s="5">
        <f t="shared" si="2"/>
        <v>70</v>
      </c>
      <c r="B73" s="5">
        <v>500</v>
      </c>
      <c r="C73" s="6" t="s">
        <v>159</v>
      </c>
      <c r="D73" s="6" t="s">
        <v>40</v>
      </c>
      <c r="E73" s="6" t="s">
        <v>160</v>
      </c>
      <c r="F73" s="6" t="s">
        <v>160</v>
      </c>
      <c r="G73" s="88" t="s">
        <v>67</v>
      </c>
      <c r="H73" s="92" t="s">
        <v>43</v>
      </c>
      <c r="I73" s="5"/>
      <c r="J73" s="92" t="s">
        <v>43</v>
      </c>
      <c r="K73" s="5"/>
      <c r="L73" s="5"/>
      <c r="M73" s="89" t="str">
        <f t="shared" ref="M73:M123" si="3">_xlfn.TEXTJOIN("_",1,"SPIC_JTTG_XXXX_XXXX",D73,B73&amp;F73,"V1.0_20260106")</f>
        <v>SPIC_JTTG_XXXX_XXXX_01项目管理类_500系统上线运行报告_V1.0_20260106</v>
      </c>
      <c r="N73" s="90" t="s">
        <v>35</v>
      </c>
      <c r="O73" s="92" t="s">
        <v>43</v>
      </c>
      <c r="P73" s="92" t="s">
        <v>43</v>
      </c>
      <c r="Q73" s="92" t="s">
        <v>43</v>
      </c>
      <c r="R73" s="92" t="s">
        <v>43</v>
      </c>
      <c r="S73" s="92" t="s">
        <v>43</v>
      </c>
      <c r="T73" s="92" t="s">
        <v>43</v>
      </c>
      <c r="U73" s="92" t="s">
        <v>43</v>
      </c>
      <c r="V73" s="92" t="s">
        <v>43</v>
      </c>
      <c r="W73" s="92" t="s">
        <v>43</v>
      </c>
      <c r="X73" s="92" t="s">
        <v>43</v>
      </c>
      <c r="Y73" s="92" t="s">
        <v>43</v>
      </c>
      <c r="Z73" s="92" t="s">
        <v>49</v>
      </c>
      <c r="AA73" s="92" t="s">
        <v>49</v>
      </c>
      <c r="AB73" s="92" t="s">
        <v>43</v>
      </c>
      <c r="AC73" s="16"/>
      <c r="AD73" s="6" t="s">
        <v>44</v>
      </c>
      <c r="AE73" s="93">
        <v>1</v>
      </c>
      <c r="AF73" s="105" t="s">
        <v>78</v>
      </c>
      <c r="AG73" s="26" t="s">
        <v>72</v>
      </c>
    </row>
    <row r="74" ht="23.1" customHeight="1" spans="1:33">
      <c r="A74" s="5">
        <f t="shared" si="2"/>
        <v>71</v>
      </c>
      <c r="B74" s="5">
        <v>501</v>
      </c>
      <c r="C74" s="6" t="s">
        <v>159</v>
      </c>
      <c r="D74" s="6" t="s">
        <v>40</v>
      </c>
      <c r="E74" s="6" t="s">
        <v>161</v>
      </c>
      <c r="F74" s="6" t="s">
        <v>161</v>
      </c>
      <c r="G74" s="6" t="s">
        <v>67</v>
      </c>
      <c r="H74" s="92" t="s">
        <v>43</v>
      </c>
      <c r="I74" s="92" t="s">
        <v>43</v>
      </c>
      <c r="J74" s="92" t="s">
        <v>43</v>
      </c>
      <c r="K74" s="5"/>
      <c r="L74" s="5"/>
      <c r="M74" s="89" t="str">
        <f t="shared" si="3"/>
        <v>SPIC_JTTG_XXXX_XXXX_01项目管理类_501上线质量报告_V1.0_20260106</v>
      </c>
      <c r="N74" s="90" t="s">
        <v>35</v>
      </c>
      <c r="O74" s="92" t="s">
        <v>43</v>
      </c>
      <c r="P74" s="92" t="s">
        <v>43</v>
      </c>
      <c r="Q74" s="92" t="s">
        <v>43</v>
      </c>
      <c r="R74" s="92" t="s">
        <v>43</v>
      </c>
      <c r="S74" s="92" t="s">
        <v>43</v>
      </c>
      <c r="T74" s="92" t="s">
        <v>43</v>
      </c>
      <c r="U74" s="92" t="s">
        <v>43</v>
      </c>
      <c r="V74" s="92" t="s">
        <v>43</v>
      </c>
      <c r="W74" s="92" t="s">
        <v>43</v>
      </c>
      <c r="X74" s="92" t="s">
        <v>43</v>
      </c>
      <c r="Y74" s="92" t="s">
        <v>43</v>
      </c>
      <c r="Z74" s="92" t="s">
        <v>49</v>
      </c>
      <c r="AA74" s="92" t="s">
        <v>49</v>
      </c>
      <c r="AB74" s="92" t="s">
        <v>43</v>
      </c>
      <c r="AC74" s="6"/>
      <c r="AD74" s="6" t="s">
        <v>44</v>
      </c>
      <c r="AE74" s="93">
        <v>1</v>
      </c>
      <c r="AF74" s="99" t="s">
        <v>162</v>
      </c>
    </row>
    <row r="75" ht="23.1" customHeight="1" spans="1:33">
      <c r="A75" s="5">
        <f t="shared" si="2"/>
        <v>72</v>
      </c>
      <c r="B75" s="5">
        <v>502</v>
      </c>
      <c r="C75" s="6" t="s">
        <v>159</v>
      </c>
      <c r="D75" s="6" t="s">
        <v>40</v>
      </c>
      <c r="E75" s="6" t="s">
        <v>163</v>
      </c>
      <c r="F75" s="6" t="s">
        <v>163</v>
      </c>
      <c r="G75" s="88" t="s">
        <v>52</v>
      </c>
      <c r="H75" s="92" t="s">
        <v>43</v>
      </c>
      <c r="I75" s="92" t="s">
        <v>43</v>
      </c>
      <c r="J75" s="92" t="s">
        <v>43</v>
      </c>
      <c r="K75" s="5"/>
      <c r="L75" s="5"/>
      <c r="M75" s="89" t="str">
        <f t="shared" si="3"/>
        <v>SPIC_JTTG_XXXX_XXXX_01项目管理类_502上线单位问题清单_V1.0_20260106</v>
      </c>
      <c r="N75" s="90" t="s">
        <v>35</v>
      </c>
      <c r="O75" s="92" t="s">
        <v>43</v>
      </c>
      <c r="P75" s="92" t="s">
        <v>43</v>
      </c>
      <c r="Q75" s="92" t="s">
        <v>43</v>
      </c>
      <c r="R75" s="92" t="s">
        <v>43</v>
      </c>
      <c r="S75" s="92" t="s">
        <v>43</v>
      </c>
      <c r="T75" s="92" t="s">
        <v>43</v>
      </c>
      <c r="U75" s="92" t="s">
        <v>43</v>
      </c>
      <c r="V75" s="92" t="s">
        <v>43</v>
      </c>
      <c r="W75" s="92" t="s">
        <v>43</v>
      </c>
      <c r="X75" s="92" t="s">
        <v>43</v>
      </c>
      <c r="Y75" s="92" t="s">
        <v>43</v>
      </c>
      <c r="Z75" s="92" t="s">
        <v>49</v>
      </c>
      <c r="AA75" s="92" t="s">
        <v>49</v>
      </c>
      <c r="AB75" s="92" t="s">
        <v>43</v>
      </c>
      <c r="AC75" s="16"/>
      <c r="AD75" s="6" t="s">
        <v>44</v>
      </c>
      <c r="AE75" s="93">
        <v>1</v>
      </c>
      <c r="AF75" s="105" t="s">
        <v>78</v>
      </c>
    </row>
    <row r="76" ht="23.1" customHeight="1" spans="1:33">
      <c r="A76" s="5">
        <f t="shared" si="2"/>
        <v>73</v>
      </c>
      <c r="B76" s="5">
        <v>503</v>
      </c>
      <c r="C76" s="6" t="s">
        <v>159</v>
      </c>
      <c r="D76" s="6" t="s">
        <v>40</v>
      </c>
      <c r="E76" s="6" t="s">
        <v>164</v>
      </c>
      <c r="F76" s="6" t="s">
        <v>164</v>
      </c>
      <c r="G76" s="88" t="s">
        <v>67</v>
      </c>
      <c r="H76" s="92" t="s">
        <v>43</v>
      </c>
      <c r="I76" s="5" t="s">
        <v>49</v>
      </c>
      <c r="J76" s="92" t="s">
        <v>43</v>
      </c>
      <c r="K76" s="5"/>
      <c r="L76" s="5"/>
      <c r="M76" s="89" t="str">
        <f t="shared" si="3"/>
        <v>SPIC_JTTG_XXXX_XXXX_01项目管理类_503月结报告_V1.0_20260106</v>
      </c>
      <c r="N76" s="90" t="s">
        <v>165</v>
      </c>
      <c r="O76" s="92"/>
      <c r="P76" s="92" t="s">
        <v>49</v>
      </c>
      <c r="Q76" s="92" t="s">
        <v>49</v>
      </c>
      <c r="R76" s="92"/>
      <c r="S76" s="92"/>
      <c r="T76" s="92"/>
      <c r="U76" s="92"/>
      <c r="V76" s="92"/>
      <c r="W76" s="92" t="s">
        <v>49</v>
      </c>
      <c r="X76" s="92" t="s">
        <v>49</v>
      </c>
      <c r="Y76" s="92" t="s">
        <v>49</v>
      </c>
      <c r="Z76" s="92" t="s">
        <v>49</v>
      </c>
      <c r="AA76" s="92" t="s">
        <v>49</v>
      </c>
      <c r="AB76" s="92" t="s">
        <v>49</v>
      </c>
      <c r="AC76" s="16"/>
      <c r="AD76" s="6" t="s">
        <v>44</v>
      </c>
      <c r="AE76" s="93">
        <v>1</v>
      </c>
      <c r="AF76" s="105" t="s">
        <v>78</v>
      </c>
      <c r="AG76" s="26" t="s">
        <v>72</v>
      </c>
    </row>
    <row r="77" ht="23.1" customHeight="1" spans="1:33">
      <c r="A77" s="5">
        <f t="shared" si="2"/>
        <v>74</v>
      </c>
      <c r="B77" s="5">
        <v>600</v>
      </c>
      <c r="C77" s="5" t="s">
        <v>166</v>
      </c>
      <c r="D77" s="6" t="s">
        <v>40</v>
      </c>
      <c r="E77" s="6" t="s">
        <v>167</v>
      </c>
      <c r="F77" s="6" t="s">
        <v>167</v>
      </c>
      <c r="G77" s="6" t="s">
        <v>67</v>
      </c>
      <c r="H77" s="92" t="s">
        <v>43</v>
      </c>
      <c r="I77" s="92" t="s">
        <v>43</v>
      </c>
      <c r="J77" s="92" t="s">
        <v>43</v>
      </c>
      <c r="K77" s="5"/>
      <c r="L77" s="5"/>
      <c r="M77" s="89" t="str">
        <f t="shared" si="3"/>
        <v>SPIC_JTTG_XXXX_XXXX_01项目管理类_600项目文档验收报告_V1.0_20260106</v>
      </c>
      <c r="N77" s="90" t="s">
        <v>35</v>
      </c>
      <c r="O77" s="92" t="s">
        <v>43</v>
      </c>
      <c r="P77" s="92" t="s">
        <v>43</v>
      </c>
      <c r="Q77" s="92" t="s">
        <v>43</v>
      </c>
      <c r="R77" s="92" t="s">
        <v>43</v>
      </c>
      <c r="S77" s="92" t="s">
        <v>43</v>
      </c>
      <c r="T77" s="92" t="s">
        <v>43</v>
      </c>
      <c r="U77" s="92" t="s">
        <v>43</v>
      </c>
      <c r="V77" s="92" t="s">
        <v>43</v>
      </c>
      <c r="W77" s="92" t="s">
        <v>43</v>
      </c>
      <c r="X77" s="92" t="s">
        <v>43</v>
      </c>
      <c r="Y77" s="92" t="s">
        <v>43</v>
      </c>
      <c r="Z77" s="92"/>
      <c r="AA77" s="92"/>
      <c r="AB77" s="92" t="s">
        <v>43</v>
      </c>
      <c r="AC77" s="16"/>
      <c r="AD77" s="6" t="s">
        <v>44</v>
      </c>
      <c r="AE77" s="93">
        <v>1</v>
      </c>
      <c r="AF77" s="107" t="s">
        <v>78</v>
      </c>
      <c r="AG77" s="26" t="s">
        <v>72</v>
      </c>
    </row>
    <row r="78" ht="23.1" customHeight="1" spans="1:33">
      <c r="A78" s="5">
        <f t="shared" si="2"/>
        <v>75</v>
      </c>
      <c r="B78" s="5">
        <v>601</v>
      </c>
      <c r="C78" s="5" t="s">
        <v>166</v>
      </c>
      <c r="D78" s="6" t="s">
        <v>40</v>
      </c>
      <c r="E78" s="5" t="s">
        <v>168</v>
      </c>
      <c r="F78" s="5" t="s">
        <v>168</v>
      </c>
      <c r="G78" s="6" t="s">
        <v>67</v>
      </c>
      <c r="H78" s="92" t="s">
        <v>43</v>
      </c>
      <c r="I78" s="92" t="s">
        <v>43</v>
      </c>
      <c r="J78" s="92" t="s">
        <v>43</v>
      </c>
      <c r="K78" s="5"/>
      <c r="L78" s="5"/>
      <c r="M78" s="89" t="str">
        <f t="shared" si="3"/>
        <v>SPIC_JTTG_XXXX_XXXX_01项目管理类_601验收申请单_V1.0_20260106</v>
      </c>
      <c r="N78" s="90" t="s">
        <v>35</v>
      </c>
      <c r="O78" s="92" t="s">
        <v>43</v>
      </c>
      <c r="P78" s="92" t="s">
        <v>43</v>
      </c>
      <c r="Q78" s="92" t="s">
        <v>43</v>
      </c>
      <c r="R78" s="92" t="s">
        <v>43</v>
      </c>
      <c r="S78" s="92" t="s">
        <v>43</v>
      </c>
      <c r="T78" s="92" t="s">
        <v>43</v>
      </c>
      <c r="U78" s="92" t="s">
        <v>43</v>
      </c>
      <c r="V78" s="92" t="s">
        <v>43</v>
      </c>
      <c r="W78" s="92" t="s">
        <v>43</v>
      </c>
      <c r="X78" s="92" t="s">
        <v>43</v>
      </c>
      <c r="Y78" s="92" t="s">
        <v>43</v>
      </c>
      <c r="Z78" s="92"/>
      <c r="AA78" s="92"/>
      <c r="AB78" s="92" t="s">
        <v>43</v>
      </c>
      <c r="AC78" s="16"/>
      <c r="AD78" s="6" t="s">
        <v>44</v>
      </c>
      <c r="AE78" s="93">
        <v>1</v>
      </c>
      <c r="AF78" s="107" t="s">
        <v>78</v>
      </c>
      <c r="AG78" s="26" t="s">
        <v>72</v>
      </c>
    </row>
    <row r="79" ht="23.1" customHeight="1" spans="1:33">
      <c r="A79" s="5">
        <f t="shared" si="2"/>
        <v>76</v>
      </c>
      <c r="B79" s="5">
        <v>602</v>
      </c>
      <c r="C79" s="5" t="s">
        <v>166</v>
      </c>
      <c r="D79" s="6" t="s">
        <v>40</v>
      </c>
      <c r="E79" s="6" t="s">
        <v>169</v>
      </c>
      <c r="F79" s="6" t="s">
        <v>169</v>
      </c>
      <c r="G79" s="6" t="s">
        <v>67</v>
      </c>
      <c r="H79" s="92" t="s">
        <v>43</v>
      </c>
      <c r="I79" s="92" t="s">
        <v>43</v>
      </c>
      <c r="J79" s="92" t="s">
        <v>43</v>
      </c>
      <c r="K79" s="5"/>
      <c r="L79" s="5"/>
      <c r="M79" s="89" t="str">
        <f t="shared" si="3"/>
        <v>SPIC_JTTG_XXXX_XXXX_01项目管理类_602系统试运行报告_V1.0_20260106</v>
      </c>
      <c r="N79" s="98"/>
      <c r="O79" s="92" t="s">
        <v>43</v>
      </c>
      <c r="P79" s="92" t="s">
        <v>43</v>
      </c>
      <c r="Q79" s="92" t="s">
        <v>43</v>
      </c>
      <c r="R79" s="92" t="s">
        <v>43</v>
      </c>
      <c r="S79" s="92" t="s">
        <v>43</v>
      </c>
      <c r="T79" s="92" t="s">
        <v>43</v>
      </c>
      <c r="U79" s="92" t="s">
        <v>43</v>
      </c>
      <c r="V79" s="92" t="s">
        <v>43</v>
      </c>
      <c r="W79" s="92" t="s">
        <v>43</v>
      </c>
      <c r="X79" s="92" t="s">
        <v>43</v>
      </c>
      <c r="Y79" s="92" t="s">
        <v>43</v>
      </c>
      <c r="Z79" s="92"/>
      <c r="AA79" s="92"/>
      <c r="AB79" s="92"/>
      <c r="AC79" s="16"/>
      <c r="AD79" s="6" t="s">
        <v>44</v>
      </c>
      <c r="AE79" s="93">
        <v>1</v>
      </c>
      <c r="AF79" s="107" t="s">
        <v>78</v>
      </c>
      <c r="AG79" s="26" t="s">
        <v>72</v>
      </c>
    </row>
    <row r="80" ht="23.1" customHeight="1" spans="1:33">
      <c r="A80" s="5">
        <f t="shared" si="2"/>
        <v>77</v>
      </c>
      <c r="B80" s="5">
        <v>603</v>
      </c>
      <c r="C80" s="5" t="s">
        <v>166</v>
      </c>
      <c r="D80" s="6" t="s">
        <v>40</v>
      </c>
      <c r="E80" s="5" t="s">
        <v>170</v>
      </c>
      <c r="F80" s="5" t="s">
        <v>170</v>
      </c>
      <c r="G80" s="6" t="s">
        <v>67</v>
      </c>
      <c r="H80" s="92" t="s">
        <v>43</v>
      </c>
      <c r="I80" s="92" t="s">
        <v>43</v>
      </c>
      <c r="J80" s="92" t="s">
        <v>43</v>
      </c>
      <c r="K80" s="5"/>
      <c r="L80" s="5"/>
      <c r="M80" s="89" t="str">
        <f t="shared" si="3"/>
        <v>SPIC_JTTG_XXXX_XXXX_01项目管理类_603遗留问题整改报告（签字版）_V1.0_20260106</v>
      </c>
      <c r="N80" s="98"/>
      <c r="O80" s="92" t="s">
        <v>43</v>
      </c>
      <c r="P80" s="92" t="s">
        <v>43</v>
      </c>
      <c r="Q80" s="92" t="s">
        <v>43</v>
      </c>
      <c r="R80" s="92" t="s">
        <v>43</v>
      </c>
      <c r="S80" s="92" t="s">
        <v>43</v>
      </c>
      <c r="T80" s="92" t="s">
        <v>43</v>
      </c>
      <c r="U80" s="92" t="s">
        <v>43</v>
      </c>
      <c r="V80" s="92" t="s">
        <v>43</v>
      </c>
      <c r="W80" s="92" t="s">
        <v>43</v>
      </c>
      <c r="X80" s="92" t="s">
        <v>43</v>
      </c>
      <c r="Y80" s="92" t="s">
        <v>43</v>
      </c>
      <c r="Z80" s="92"/>
      <c r="AA80" s="92"/>
      <c r="AB80" s="92"/>
      <c r="AC80" s="16"/>
      <c r="AD80" s="6" t="s">
        <v>44</v>
      </c>
      <c r="AE80" s="93">
        <v>1</v>
      </c>
      <c r="AF80" s="107" t="s">
        <v>78</v>
      </c>
      <c r="AG80" s="26" t="s">
        <v>72</v>
      </c>
    </row>
    <row r="81" ht="23.1" customHeight="1" spans="1:33">
      <c r="A81" s="5">
        <f t="shared" si="2"/>
        <v>78</v>
      </c>
      <c r="B81" s="5">
        <v>604</v>
      </c>
      <c r="C81" s="5" t="s">
        <v>166</v>
      </c>
      <c r="D81" s="6" t="s">
        <v>40</v>
      </c>
      <c r="E81" s="5" t="s">
        <v>171</v>
      </c>
      <c r="F81" s="5" t="s">
        <v>171</v>
      </c>
      <c r="G81" s="6" t="s">
        <v>42</v>
      </c>
      <c r="H81" s="92" t="s">
        <v>43</v>
      </c>
      <c r="I81" s="92" t="s">
        <v>43</v>
      </c>
      <c r="J81" s="92" t="s">
        <v>43</v>
      </c>
      <c r="K81" s="5"/>
      <c r="L81" s="5"/>
      <c r="M81" s="89" t="str">
        <f t="shared" si="3"/>
        <v>SPIC_JTTG_XXXX_XXXX_01项目管理类_604验收汇报材料_V1.0_20260106</v>
      </c>
      <c r="N81" s="98"/>
      <c r="O81" s="92" t="s">
        <v>49</v>
      </c>
      <c r="P81" s="92" t="s">
        <v>49</v>
      </c>
      <c r="Q81" s="92" t="s">
        <v>49</v>
      </c>
      <c r="R81" s="92" t="s">
        <v>49</v>
      </c>
      <c r="S81" s="92" t="s">
        <v>49</v>
      </c>
      <c r="T81" s="92" t="s">
        <v>49</v>
      </c>
      <c r="U81" s="92" t="s">
        <v>49</v>
      </c>
      <c r="V81" s="92" t="s">
        <v>49</v>
      </c>
      <c r="W81" s="92" t="s">
        <v>49</v>
      </c>
      <c r="X81" s="92" t="s">
        <v>49</v>
      </c>
      <c r="Y81" s="92" t="s">
        <v>49</v>
      </c>
      <c r="Z81" s="92" t="s">
        <v>49</v>
      </c>
      <c r="AA81" s="92" t="s">
        <v>49</v>
      </c>
      <c r="AB81" s="92"/>
      <c r="AC81" s="16"/>
      <c r="AD81" s="6" t="s">
        <v>44</v>
      </c>
      <c r="AE81" s="93">
        <v>1</v>
      </c>
      <c r="AF81" s="103" t="s">
        <v>75</v>
      </c>
    </row>
    <row r="82" ht="23.1" customHeight="1" spans="1:33">
      <c r="A82" s="5">
        <f t="shared" si="2"/>
        <v>79</v>
      </c>
      <c r="B82" s="5">
        <v>605</v>
      </c>
      <c r="C82" s="5" t="s">
        <v>166</v>
      </c>
      <c r="D82" s="6" t="s">
        <v>40</v>
      </c>
      <c r="E82" s="6" t="s">
        <v>172</v>
      </c>
      <c r="F82" s="6" t="s">
        <v>172</v>
      </c>
      <c r="G82" s="88" t="s">
        <v>67</v>
      </c>
      <c r="H82" s="92" t="s">
        <v>43</v>
      </c>
      <c r="I82" s="92" t="s">
        <v>43</v>
      </c>
      <c r="J82" s="92" t="s">
        <v>43</v>
      </c>
      <c r="K82" s="5"/>
      <c r="L82" s="5"/>
      <c r="M82" s="89" t="str">
        <f t="shared" si="3"/>
        <v>SPIC_JTTG_XXXX_XXXX_01项目管理类_605服务转移确认单_V1.0_20260106</v>
      </c>
      <c r="N82" s="98"/>
      <c r="O82" s="92" t="s">
        <v>43</v>
      </c>
      <c r="P82" s="92" t="s">
        <v>43</v>
      </c>
      <c r="Q82" s="92" t="s">
        <v>43</v>
      </c>
      <c r="R82" s="92" t="s">
        <v>43</v>
      </c>
      <c r="S82" s="92" t="s">
        <v>43</v>
      </c>
      <c r="T82" s="92" t="s">
        <v>43</v>
      </c>
      <c r="U82" s="92" t="s">
        <v>43</v>
      </c>
      <c r="V82" s="92" t="s">
        <v>43</v>
      </c>
      <c r="W82" s="92" t="s">
        <v>43</v>
      </c>
      <c r="X82" s="92" t="s">
        <v>43</v>
      </c>
      <c r="Y82" s="92" t="s">
        <v>43</v>
      </c>
      <c r="Z82" s="92" t="s">
        <v>43</v>
      </c>
      <c r="AA82" s="92" t="s">
        <v>43</v>
      </c>
      <c r="AB82" s="92"/>
      <c r="AC82" s="16"/>
      <c r="AD82" s="6" t="s">
        <v>44</v>
      </c>
      <c r="AE82" s="93">
        <v>1</v>
      </c>
      <c r="AF82" s="107" t="s">
        <v>78</v>
      </c>
      <c r="AG82" s="26" t="s">
        <v>72</v>
      </c>
    </row>
    <row r="83" ht="23.1" customHeight="1" spans="1:33">
      <c r="A83" s="5">
        <f t="shared" si="2"/>
        <v>80</v>
      </c>
      <c r="B83" s="119" t="s">
        <v>173</v>
      </c>
      <c r="C83" s="5" t="s">
        <v>174</v>
      </c>
      <c r="D83" s="6" t="s">
        <v>40</v>
      </c>
      <c r="E83" s="97" t="s">
        <v>175</v>
      </c>
      <c r="F83" s="97" t="s">
        <v>175</v>
      </c>
      <c r="G83" s="88" t="s">
        <v>67</v>
      </c>
      <c r="H83" s="92" t="s">
        <v>43</v>
      </c>
      <c r="I83" s="92" t="s">
        <v>43</v>
      </c>
      <c r="J83" s="92" t="s">
        <v>43</v>
      </c>
      <c r="K83" s="5"/>
      <c r="L83" s="5"/>
      <c r="M83" s="89" t="str">
        <f t="shared" si="3"/>
        <v>SPIC_JTTG_XXXX_XXXX_01项目管理类_000项目章程_V1.0_20260106</v>
      </c>
      <c r="N83" s="90" t="s">
        <v>35</v>
      </c>
      <c r="O83" s="92" t="s">
        <v>49</v>
      </c>
      <c r="P83" s="92" t="s">
        <v>49</v>
      </c>
      <c r="Q83" s="92" t="s">
        <v>49</v>
      </c>
      <c r="R83" s="92" t="s">
        <v>49</v>
      </c>
      <c r="S83" s="92" t="s">
        <v>49</v>
      </c>
      <c r="T83" s="92" t="s">
        <v>49</v>
      </c>
      <c r="U83" s="92" t="s">
        <v>49</v>
      </c>
      <c r="V83" s="92" t="s">
        <v>49</v>
      </c>
      <c r="W83" s="92" t="s">
        <v>49</v>
      </c>
      <c r="X83" s="92" t="s">
        <v>49</v>
      </c>
      <c r="Y83" s="92" t="s">
        <v>49</v>
      </c>
      <c r="Z83" s="92" t="s">
        <v>49</v>
      </c>
      <c r="AA83" s="92" t="s">
        <v>49</v>
      </c>
      <c r="AB83" s="92" t="s">
        <v>43</v>
      </c>
      <c r="AC83" s="6"/>
      <c r="AD83" s="6" t="s">
        <v>50</v>
      </c>
      <c r="AE83" s="93">
        <v>0</v>
      </c>
      <c r="AF83" s="94"/>
    </row>
    <row r="84" ht="23.1" customHeight="1" spans="1:33">
      <c r="A84" s="5">
        <f t="shared" si="2"/>
        <v>81</v>
      </c>
      <c r="B84" s="119" t="s">
        <v>176</v>
      </c>
      <c r="C84" s="5" t="s">
        <v>174</v>
      </c>
      <c r="D84" s="6" t="s">
        <v>40</v>
      </c>
      <c r="E84" s="6" t="s">
        <v>177</v>
      </c>
      <c r="F84" s="6" t="s">
        <v>177</v>
      </c>
      <c r="G84" s="6" t="s">
        <v>52</v>
      </c>
      <c r="H84" s="92" t="s">
        <v>43</v>
      </c>
      <c r="I84" s="92" t="s">
        <v>43</v>
      </c>
      <c r="J84" s="92" t="s">
        <v>43</v>
      </c>
      <c r="K84" s="5"/>
      <c r="L84" s="5"/>
      <c r="M84" s="89" t="str">
        <f t="shared" si="3"/>
        <v>SPIC_JTTG_XXXX_XXXX_01项目管理类_001双周滚动计划_V1.0_20260106</v>
      </c>
      <c r="N84" s="90" t="s">
        <v>35</v>
      </c>
      <c r="O84" s="92" t="s">
        <v>43</v>
      </c>
      <c r="P84" s="92" t="s">
        <v>43</v>
      </c>
      <c r="Q84" s="92" t="s">
        <v>43</v>
      </c>
      <c r="R84" s="92" t="s">
        <v>43</v>
      </c>
      <c r="S84" s="92" t="s">
        <v>43</v>
      </c>
      <c r="T84" s="92" t="s">
        <v>43</v>
      </c>
      <c r="U84" s="92" t="s">
        <v>43</v>
      </c>
      <c r="V84" s="92" t="s">
        <v>43</v>
      </c>
      <c r="W84" s="92" t="s">
        <v>43</v>
      </c>
      <c r="X84" s="92" t="s">
        <v>43</v>
      </c>
      <c r="Y84" s="92" t="s">
        <v>43</v>
      </c>
      <c r="Z84" s="92" t="s">
        <v>43</v>
      </c>
      <c r="AA84" s="92" t="s">
        <v>43</v>
      </c>
      <c r="AB84" s="92" t="s">
        <v>43</v>
      </c>
      <c r="AC84" s="16"/>
      <c r="AD84" s="6" t="s">
        <v>44</v>
      </c>
      <c r="AE84" s="93">
        <v>1</v>
      </c>
      <c r="AF84" s="94"/>
    </row>
    <row r="85" ht="23.1" customHeight="1" spans="1:33">
      <c r="A85" s="5">
        <f t="shared" si="2"/>
        <v>82</v>
      </c>
      <c r="B85" s="119" t="s">
        <v>178</v>
      </c>
      <c r="C85" s="5" t="s">
        <v>174</v>
      </c>
      <c r="D85" s="6" t="s">
        <v>40</v>
      </c>
      <c r="E85" s="5" t="s">
        <v>179</v>
      </c>
      <c r="F85" s="5" t="s">
        <v>179</v>
      </c>
      <c r="G85" s="6" t="s">
        <v>52</v>
      </c>
      <c r="H85" s="92" t="s">
        <v>43</v>
      </c>
      <c r="I85" s="92" t="s">
        <v>43</v>
      </c>
      <c r="J85" s="92" t="s">
        <v>43</v>
      </c>
      <c r="K85" s="5" t="s">
        <v>48</v>
      </c>
      <c r="L85" s="5" t="s">
        <v>48</v>
      </c>
      <c r="M85" s="89" t="str">
        <f t="shared" si="3"/>
        <v>SPIC_JTTG_XXXX_XXXX_01项目管理类_002顾问分工表_V1.0_20260106</v>
      </c>
      <c r="N85" s="90" t="s">
        <v>35</v>
      </c>
      <c r="O85" s="92" t="s">
        <v>43</v>
      </c>
      <c r="P85" s="92" t="s">
        <v>43</v>
      </c>
      <c r="Q85" s="92" t="s">
        <v>43</v>
      </c>
      <c r="R85" s="92" t="s">
        <v>43</v>
      </c>
      <c r="S85" s="92" t="s">
        <v>43</v>
      </c>
      <c r="T85" s="92" t="s">
        <v>43</v>
      </c>
      <c r="U85" s="92" t="s">
        <v>43</v>
      </c>
      <c r="V85" s="92" t="s">
        <v>43</v>
      </c>
      <c r="W85" s="92" t="s">
        <v>43</v>
      </c>
      <c r="X85" s="92" t="s">
        <v>43</v>
      </c>
      <c r="Y85" s="92" t="s">
        <v>43</v>
      </c>
      <c r="Z85" s="92" t="s">
        <v>43</v>
      </c>
      <c r="AA85" s="92" t="s">
        <v>43</v>
      </c>
      <c r="AB85" s="92" t="s">
        <v>43</v>
      </c>
      <c r="AC85" s="16"/>
      <c r="AD85" s="6" t="s">
        <v>44</v>
      </c>
      <c r="AE85" s="93">
        <v>1</v>
      </c>
      <c r="AF85" s="94"/>
    </row>
    <row r="86" ht="23.1" customHeight="1" spans="1:33">
      <c r="A86" s="5">
        <f t="shared" si="2"/>
        <v>83</v>
      </c>
      <c r="B86" s="119" t="s">
        <v>180</v>
      </c>
      <c r="C86" s="5" t="s">
        <v>174</v>
      </c>
      <c r="D86" s="6" t="s">
        <v>40</v>
      </c>
      <c r="E86" s="5" t="s">
        <v>181</v>
      </c>
      <c r="F86" s="5" t="s">
        <v>181</v>
      </c>
      <c r="G86" s="6" t="s">
        <v>52</v>
      </c>
      <c r="H86" s="92" t="s">
        <v>43</v>
      </c>
      <c r="I86" s="92" t="s">
        <v>43</v>
      </c>
      <c r="J86" s="92" t="s">
        <v>43</v>
      </c>
      <c r="K86" s="5" t="s">
        <v>48</v>
      </c>
      <c r="L86" s="5" t="s">
        <v>48</v>
      </c>
      <c r="M86" s="89" t="str">
        <f t="shared" si="3"/>
        <v>SPIC_JTTG_XXXX_XXXX_01项目管理类_003关键用户分工表_V1.0_20260106</v>
      </c>
      <c r="N86" s="98"/>
      <c r="O86" s="92" t="s">
        <v>43</v>
      </c>
      <c r="P86" s="92" t="s">
        <v>43</v>
      </c>
      <c r="Q86" s="92" t="s">
        <v>43</v>
      </c>
      <c r="R86" s="92" t="s">
        <v>43</v>
      </c>
      <c r="S86" s="92" t="s">
        <v>43</v>
      </c>
      <c r="T86" s="92" t="s">
        <v>43</v>
      </c>
      <c r="U86" s="92" t="s">
        <v>43</v>
      </c>
      <c r="V86" s="92" t="s">
        <v>43</v>
      </c>
      <c r="W86" s="92" t="s">
        <v>43</v>
      </c>
      <c r="X86" s="92" t="s">
        <v>43</v>
      </c>
      <c r="Y86" s="92" t="s">
        <v>43</v>
      </c>
      <c r="Z86" s="92" t="s">
        <v>43</v>
      </c>
      <c r="AA86" s="92" t="s">
        <v>43</v>
      </c>
      <c r="AB86" s="92" t="s">
        <v>49</v>
      </c>
      <c r="AC86" s="16"/>
      <c r="AD86" s="6" t="s">
        <v>44</v>
      </c>
      <c r="AE86" s="93">
        <v>1</v>
      </c>
      <c r="AF86" s="94"/>
    </row>
    <row r="87" ht="23.1" customHeight="1" spans="1:33">
      <c r="A87" s="5">
        <f t="shared" si="2"/>
        <v>84</v>
      </c>
      <c r="B87" s="119" t="s">
        <v>182</v>
      </c>
      <c r="C87" s="5" t="s">
        <v>174</v>
      </c>
      <c r="D87" s="6" t="s">
        <v>40</v>
      </c>
      <c r="E87" s="5" t="s">
        <v>183</v>
      </c>
      <c r="F87" s="5" t="s">
        <v>183</v>
      </c>
      <c r="G87" s="6" t="s">
        <v>67</v>
      </c>
      <c r="H87" s="92" t="s">
        <v>43</v>
      </c>
      <c r="I87" s="92" t="s">
        <v>43</v>
      </c>
      <c r="J87" s="92" t="s">
        <v>43</v>
      </c>
      <c r="K87" s="5" t="s">
        <v>48</v>
      </c>
      <c r="L87" s="5" t="s">
        <v>48</v>
      </c>
      <c r="M87" s="89" t="str">
        <f t="shared" si="3"/>
        <v>SPIC_JTTG_XXXX_XXXX_01项目管理类_004签到表_V1.0_20260106</v>
      </c>
      <c r="N87" s="90" t="s">
        <v>35</v>
      </c>
      <c r="O87" s="92" t="s">
        <v>43</v>
      </c>
      <c r="P87" s="92" t="s">
        <v>43</v>
      </c>
      <c r="Q87" s="92" t="s">
        <v>43</v>
      </c>
      <c r="R87" s="92" t="s">
        <v>43</v>
      </c>
      <c r="S87" s="92" t="s">
        <v>43</v>
      </c>
      <c r="T87" s="92" t="s">
        <v>43</v>
      </c>
      <c r="U87" s="92" t="s">
        <v>43</v>
      </c>
      <c r="V87" s="92" t="s">
        <v>43</v>
      </c>
      <c r="W87" s="92" t="s">
        <v>43</v>
      </c>
      <c r="X87" s="92" t="s">
        <v>43</v>
      </c>
      <c r="Y87" s="92" t="s">
        <v>43</v>
      </c>
      <c r="Z87" s="92" t="s">
        <v>43</v>
      </c>
      <c r="AA87" s="92" t="s">
        <v>43</v>
      </c>
      <c r="AB87" s="92" t="s">
        <v>43</v>
      </c>
      <c r="AC87" s="16"/>
      <c r="AD87" s="6" t="s">
        <v>44</v>
      </c>
      <c r="AE87" s="93">
        <v>1</v>
      </c>
      <c r="AF87" s="94"/>
    </row>
    <row r="88" ht="23.1" customHeight="1" spans="1:33">
      <c r="A88" s="5">
        <f t="shared" si="2"/>
        <v>85</v>
      </c>
      <c r="B88" s="119" t="s">
        <v>184</v>
      </c>
      <c r="C88" s="5" t="s">
        <v>174</v>
      </c>
      <c r="D88" s="6" t="s">
        <v>40</v>
      </c>
      <c r="E88" s="6" t="s">
        <v>185</v>
      </c>
      <c r="F88" s="6" t="s">
        <v>185</v>
      </c>
      <c r="G88" s="6" t="s">
        <v>67</v>
      </c>
      <c r="H88" s="92" t="s">
        <v>43</v>
      </c>
      <c r="I88" s="92" t="s">
        <v>43</v>
      </c>
      <c r="J88" s="92" t="s">
        <v>43</v>
      </c>
      <c r="K88" s="5" t="s">
        <v>48</v>
      </c>
      <c r="L88" s="5" t="s">
        <v>48</v>
      </c>
      <c r="M88" s="89" t="str">
        <f t="shared" si="3"/>
        <v>SPIC_JTTG_XXXX_XXXX_01项目管理类_005会议纪要_V1.0_20260106</v>
      </c>
      <c r="N88" s="90" t="s">
        <v>56</v>
      </c>
      <c r="O88" s="92" t="s">
        <v>43</v>
      </c>
      <c r="P88" s="92" t="s">
        <v>43</v>
      </c>
      <c r="Q88" s="92" t="s">
        <v>43</v>
      </c>
      <c r="R88" s="92" t="s">
        <v>43</v>
      </c>
      <c r="S88" s="92" t="s">
        <v>43</v>
      </c>
      <c r="T88" s="92" t="s">
        <v>43</v>
      </c>
      <c r="U88" s="92" t="s">
        <v>43</v>
      </c>
      <c r="V88" s="92" t="s">
        <v>43</v>
      </c>
      <c r="W88" s="92" t="s">
        <v>43</v>
      </c>
      <c r="X88" s="92" t="s">
        <v>43</v>
      </c>
      <c r="Y88" s="92" t="s">
        <v>43</v>
      </c>
      <c r="Z88" s="92" t="s">
        <v>43</v>
      </c>
      <c r="AA88" s="92" t="s">
        <v>43</v>
      </c>
      <c r="AB88" s="92" t="s">
        <v>49</v>
      </c>
      <c r="AC88" s="16"/>
      <c r="AD88" s="6" t="s">
        <v>44</v>
      </c>
      <c r="AE88" s="93">
        <v>1</v>
      </c>
      <c r="AF88" s="94"/>
    </row>
    <row r="89" ht="23.1" customHeight="1" spans="1:33">
      <c r="A89" s="5">
        <f t="shared" si="2"/>
        <v>86</v>
      </c>
      <c r="B89" s="119" t="s">
        <v>186</v>
      </c>
      <c r="C89" s="5" t="s">
        <v>174</v>
      </c>
      <c r="D89" s="6" t="s">
        <v>40</v>
      </c>
      <c r="E89" s="5" t="s">
        <v>187</v>
      </c>
      <c r="F89" s="5" t="s">
        <v>187</v>
      </c>
      <c r="G89" s="6" t="s">
        <v>67</v>
      </c>
      <c r="H89" s="92" t="s">
        <v>43</v>
      </c>
      <c r="I89" s="92" t="s">
        <v>43</v>
      </c>
      <c r="J89" s="92" t="s">
        <v>43</v>
      </c>
      <c r="K89" s="5"/>
      <c r="L89" s="5"/>
      <c r="M89" s="89" t="str">
        <f t="shared" si="3"/>
        <v>SPIC_JTTG_XXXX_XXXX_01项目管理类_006会议通知_V1.0_20260106</v>
      </c>
      <c r="N89" s="90" t="s">
        <v>35</v>
      </c>
      <c r="O89" s="92" t="s">
        <v>43</v>
      </c>
      <c r="P89" s="92" t="s">
        <v>43</v>
      </c>
      <c r="Q89" s="92" t="s">
        <v>43</v>
      </c>
      <c r="R89" s="92" t="s">
        <v>43</v>
      </c>
      <c r="S89" s="92" t="s">
        <v>43</v>
      </c>
      <c r="T89" s="92" t="s">
        <v>43</v>
      </c>
      <c r="U89" s="92" t="s">
        <v>43</v>
      </c>
      <c r="V89" s="92" t="s">
        <v>43</v>
      </c>
      <c r="W89" s="92" t="s">
        <v>43</v>
      </c>
      <c r="X89" s="92" t="s">
        <v>43</v>
      </c>
      <c r="Y89" s="92" t="s">
        <v>43</v>
      </c>
      <c r="Z89" s="92" t="s">
        <v>43</v>
      </c>
      <c r="AA89" s="92" t="s">
        <v>43</v>
      </c>
      <c r="AB89" s="92" t="s">
        <v>43</v>
      </c>
      <c r="AC89" s="16"/>
      <c r="AD89" s="6" t="s">
        <v>44</v>
      </c>
      <c r="AE89" s="93">
        <v>1</v>
      </c>
      <c r="AF89" s="94"/>
    </row>
    <row r="90" ht="23.1" customHeight="1" spans="1:33">
      <c r="A90" s="5">
        <f t="shared" si="2"/>
        <v>87</v>
      </c>
      <c r="B90" s="119" t="s">
        <v>188</v>
      </c>
      <c r="C90" s="5" t="s">
        <v>174</v>
      </c>
      <c r="D90" s="6" t="s">
        <v>105</v>
      </c>
      <c r="E90" s="5" t="s">
        <v>189</v>
      </c>
      <c r="F90" s="5" t="s">
        <v>189</v>
      </c>
      <c r="G90" s="88" t="s">
        <v>67</v>
      </c>
      <c r="H90" s="92" t="s">
        <v>43</v>
      </c>
      <c r="I90" s="5"/>
      <c r="J90" s="5"/>
      <c r="K90" s="5"/>
      <c r="L90" s="5"/>
      <c r="M90" s="89" t="str">
        <f t="shared" si="3"/>
        <v>SPIC_JTTG_XXXX_XXXX_03技术管理类_007数据字典_V1.0_20260106</v>
      </c>
      <c r="N90" s="98"/>
      <c r="O90" s="92" t="s">
        <v>43</v>
      </c>
      <c r="P90" s="92" t="s">
        <v>43</v>
      </c>
      <c r="Q90" s="92" t="s">
        <v>43</v>
      </c>
      <c r="R90" s="92" t="s">
        <v>43</v>
      </c>
      <c r="S90" s="92" t="s">
        <v>43</v>
      </c>
      <c r="T90" s="92" t="s">
        <v>43</v>
      </c>
      <c r="U90" s="92" t="s">
        <v>43</v>
      </c>
      <c r="V90" s="92" t="s">
        <v>43</v>
      </c>
      <c r="W90" s="92" t="s">
        <v>43</v>
      </c>
      <c r="X90" s="92" t="s">
        <v>43</v>
      </c>
      <c r="Y90" s="92" t="s">
        <v>43</v>
      </c>
      <c r="Z90" s="92" t="s">
        <v>43</v>
      </c>
      <c r="AA90" s="92" t="s">
        <v>43</v>
      </c>
      <c r="AB90" s="92"/>
      <c r="AC90" s="16"/>
      <c r="AD90" s="6" t="s">
        <v>50</v>
      </c>
      <c r="AE90" s="93">
        <v>0</v>
      </c>
      <c r="AF90" s="94"/>
    </row>
    <row r="91" ht="23.1" customHeight="1" spans="1:33">
      <c r="A91" s="5">
        <f t="shared" si="2"/>
        <v>88</v>
      </c>
      <c r="B91" s="119" t="s">
        <v>190</v>
      </c>
      <c r="C91" s="5" t="s">
        <v>174</v>
      </c>
      <c r="D91" s="6" t="s">
        <v>40</v>
      </c>
      <c r="E91" s="5" t="s">
        <v>191</v>
      </c>
      <c r="F91" s="5" t="s">
        <v>191</v>
      </c>
      <c r="G91" s="5" t="s">
        <v>42</v>
      </c>
      <c r="H91" s="92" t="s">
        <v>43</v>
      </c>
      <c r="I91" s="92" t="s">
        <v>43</v>
      </c>
      <c r="J91" s="92" t="s">
        <v>43</v>
      </c>
      <c r="K91" s="5"/>
      <c r="L91" s="5"/>
      <c r="M91" s="89" t="str">
        <f t="shared" si="3"/>
        <v>SPIC_JTTG_XXXX_XXXX_01项目管理类_008周例会材料_V1.0_20260106</v>
      </c>
      <c r="N91" s="90" t="s">
        <v>35</v>
      </c>
      <c r="O91" s="92" t="s">
        <v>43</v>
      </c>
      <c r="P91" s="92" t="s">
        <v>43</v>
      </c>
      <c r="Q91" s="92" t="s">
        <v>43</v>
      </c>
      <c r="R91" s="92" t="s">
        <v>43</v>
      </c>
      <c r="S91" s="92" t="s">
        <v>43</v>
      </c>
      <c r="T91" s="92" t="s">
        <v>43</v>
      </c>
      <c r="U91" s="92" t="s">
        <v>43</v>
      </c>
      <c r="V91" s="92" t="s">
        <v>43</v>
      </c>
      <c r="W91" s="92" t="s">
        <v>43</v>
      </c>
      <c r="X91" s="92" t="s">
        <v>43</v>
      </c>
      <c r="Y91" s="92" t="s">
        <v>43</v>
      </c>
      <c r="Z91" s="92" t="s">
        <v>43</v>
      </c>
      <c r="AA91" s="92" t="s">
        <v>43</v>
      </c>
      <c r="AB91" s="92" t="s">
        <v>43</v>
      </c>
      <c r="AC91" s="16"/>
      <c r="AD91" s="6" t="s">
        <v>44</v>
      </c>
      <c r="AE91" s="93">
        <v>1</v>
      </c>
      <c r="AF91" s="94"/>
    </row>
    <row r="92" ht="23.1" customHeight="1" spans="1:33">
      <c r="A92" s="5">
        <f t="shared" si="2"/>
        <v>89</v>
      </c>
      <c r="B92" s="119" t="s">
        <v>192</v>
      </c>
      <c r="C92" s="5" t="s">
        <v>174</v>
      </c>
      <c r="D92" s="6" t="s">
        <v>40</v>
      </c>
      <c r="E92" s="5" t="s">
        <v>193</v>
      </c>
      <c r="F92" s="5" t="s">
        <v>193</v>
      </c>
      <c r="G92" s="5" t="s">
        <v>42</v>
      </c>
      <c r="H92" s="92" t="s">
        <v>43</v>
      </c>
      <c r="I92" s="92" t="s">
        <v>43</v>
      </c>
      <c r="J92" s="92" t="s">
        <v>43</v>
      </c>
      <c r="K92" s="5"/>
      <c r="L92" s="5"/>
      <c r="M92" s="89" t="str">
        <f t="shared" si="3"/>
        <v>SPIC_JTTG_XXXX_XXXX_01项目管理类_009月度例会材料_V1.0_20260106</v>
      </c>
      <c r="N92" s="90" t="s">
        <v>35</v>
      </c>
      <c r="O92" s="92" t="s">
        <v>43</v>
      </c>
      <c r="P92" s="92" t="s">
        <v>43</v>
      </c>
      <c r="Q92" s="92" t="s">
        <v>43</v>
      </c>
      <c r="R92" s="92" t="s">
        <v>43</v>
      </c>
      <c r="S92" s="92" t="s">
        <v>43</v>
      </c>
      <c r="T92" s="92" t="s">
        <v>43</v>
      </c>
      <c r="U92" s="92" t="s">
        <v>43</v>
      </c>
      <c r="V92" s="92" t="s">
        <v>43</v>
      </c>
      <c r="W92" s="92" t="s">
        <v>43</v>
      </c>
      <c r="X92" s="92" t="s">
        <v>43</v>
      </c>
      <c r="Y92" s="92" t="s">
        <v>43</v>
      </c>
      <c r="Z92" s="92" t="s">
        <v>43</v>
      </c>
      <c r="AA92" s="92" t="s">
        <v>43</v>
      </c>
      <c r="AB92" s="92" t="s">
        <v>43</v>
      </c>
      <c r="AC92" s="16"/>
      <c r="AD92" s="6" t="s">
        <v>44</v>
      </c>
      <c r="AE92" s="93">
        <v>1</v>
      </c>
      <c r="AF92" s="94"/>
    </row>
    <row r="93" ht="23.1" customHeight="1" spans="1:33">
      <c r="A93" s="5">
        <f t="shared" si="2"/>
        <v>90</v>
      </c>
      <c r="B93" s="119" t="s">
        <v>194</v>
      </c>
      <c r="C93" s="5" t="s">
        <v>174</v>
      </c>
      <c r="D93" s="6" t="s">
        <v>40</v>
      </c>
      <c r="E93" s="6" t="s">
        <v>195</v>
      </c>
      <c r="F93" s="6" t="s">
        <v>195</v>
      </c>
      <c r="G93" s="5" t="s">
        <v>42</v>
      </c>
      <c r="H93" s="92" t="s">
        <v>43</v>
      </c>
      <c r="I93" s="92" t="s">
        <v>43</v>
      </c>
      <c r="J93" s="92" t="s">
        <v>43</v>
      </c>
      <c r="K93" s="5"/>
      <c r="L93" s="5"/>
      <c r="M93" s="89" t="str">
        <f t="shared" si="3"/>
        <v>SPIC_JTTG_XXXX_XXXX_01项目管理类_010专题汇报材料_V1.0_20260106</v>
      </c>
      <c r="N93" s="90" t="s">
        <v>35</v>
      </c>
      <c r="O93" s="92" t="s">
        <v>43</v>
      </c>
      <c r="P93" s="92" t="s">
        <v>43</v>
      </c>
      <c r="Q93" s="92" t="s">
        <v>43</v>
      </c>
      <c r="R93" s="92" t="s">
        <v>43</v>
      </c>
      <c r="S93" s="92" t="s">
        <v>43</v>
      </c>
      <c r="T93" s="92" t="s">
        <v>43</v>
      </c>
      <c r="U93" s="92" t="s">
        <v>43</v>
      </c>
      <c r="V93" s="92" t="s">
        <v>43</v>
      </c>
      <c r="W93" s="92" t="s">
        <v>43</v>
      </c>
      <c r="X93" s="92" t="s">
        <v>43</v>
      </c>
      <c r="Y93" s="92" t="s">
        <v>43</v>
      </c>
      <c r="Z93" s="92" t="s">
        <v>43</v>
      </c>
      <c r="AA93" s="92" t="s">
        <v>43</v>
      </c>
      <c r="AB93" s="92" t="s">
        <v>43</v>
      </c>
      <c r="AC93" s="16"/>
      <c r="AD93" s="6" t="s">
        <v>44</v>
      </c>
      <c r="AE93" s="93">
        <v>1</v>
      </c>
      <c r="AF93" s="94"/>
    </row>
    <row r="94" ht="23.1" customHeight="1" spans="1:33">
      <c r="A94" s="5">
        <f t="shared" si="2"/>
        <v>91</v>
      </c>
      <c r="B94" s="119" t="s">
        <v>196</v>
      </c>
      <c r="C94" s="5" t="s">
        <v>174</v>
      </c>
      <c r="D94" s="6" t="s">
        <v>40</v>
      </c>
      <c r="E94" s="5" t="s">
        <v>197</v>
      </c>
      <c r="F94" s="5" t="s">
        <v>197</v>
      </c>
      <c r="G94" s="6" t="s">
        <v>67</v>
      </c>
      <c r="H94" s="92" t="s">
        <v>43</v>
      </c>
      <c r="I94" s="92" t="s">
        <v>43</v>
      </c>
      <c r="J94" s="92" t="s">
        <v>43</v>
      </c>
      <c r="K94" s="5"/>
      <c r="L94" s="5"/>
      <c r="M94" s="89" t="str">
        <f t="shared" si="3"/>
        <v>SPIC_JTTG_XXXX_XXXX_01项目管理类_011信息安全责任书_V1.0_20260106</v>
      </c>
      <c r="N94" s="90" t="s">
        <v>35</v>
      </c>
      <c r="O94" s="92" t="s">
        <v>43</v>
      </c>
      <c r="P94" s="92" t="s">
        <v>43</v>
      </c>
      <c r="Q94" s="92" t="s">
        <v>43</v>
      </c>
      <c r="R94" s="92" t="s">
        <v>43</v>
      </c>
      <c r="S94" s="92" t="s">
        <v>43</v>
      </c>
      <c r="T94" s="92" t="s">
        <v>43</v>
      </c>
      <c r="U94" s="92" t="s">
        <v>43</v>
      </c>
      <c r="V94" s="92" t="s">
        <v>43</v>
      </c>
      <c r="W94" s="92" t="s">
        <v>43</v>
      </c>
      <c r="X94" s="92" t="s">
        <v>43</v>
      </c>
      <c r="Y94" s="92" t="s">
        <v>43</v>
      </c>
      <c r="Z94" s="92" t="s">
        <v>43</v>
      </c>
      <c r="AA94" s="92" t="s">
        <v>43</v>
      </c>
      <c r="AB94" s="92" t="s">
        <v>43</v>
      </c>
      <c r="AC94" s="16"/>
      <c r="AD94" s="6" t="s">
        <v>44</v>
      </c>
      <c r="AE94" s="93">
        <v>1</v>
      </c>
      <c r="AF94" s="94"/>
    </row>
    <row r="95" ht="23.1" customHeight="1" spans="1:33">
      <c r="A95" s="5">
        <f t="shared" si="2"/>
        <v>92</v>
      </c>
      <c r="B95" s="119" t="s">
        <v>198</v>
      </c>
      <c r="C95" s="5" t="s">
        <v>174</v>
      </c>
      <c r="D95" s="6" t="s">
        <v>40</v>
      </c>
      <c r="E95" s="5" t="s">
        <v>199</v>
      </c>
      <c r="F95" s="5" t="s">
        <v>199</v>
      </c>
      <c r="G95" s="6" t="s">
        <v>67</v>
      </c>
      <c r="H95" s="92" t="s">
        <v>43</v>
      </c>
      <c r="I95" s="92" t="s">
        <v>43</v>
      </c>
      <c r="J95" s="92" t="s">
        <v>43</v>
      </c>
      <c r="K95" s="5"/>
      <c r="L95" s="5"/>
      <c r="M95" s="89" t="str">
        <f t="shared" si="3"/>
        <v>SPIC_JTTG_XXXX_XXXX_01项目管理类_012项目保密协议_V1.0_20260106</v>
      </c>
      <c r="N95" s="90" t="s">
        <v>35</v>
      </c>
      <c r="O95" s="92" t="s">
        <v>43</v>
      </c>
      <c r="P95" s="92" t="s">
        <v>43</v>
      </c>
      <c r="Q95" s="92" t="s">
        <v>43</v>
      </c>
      <c r="R95" s="92" t="s">
        <v>43</v>
      </c>
      <c r="S95" s="92" t="s">
        <v>43</v>
      </c>
      <c r="T95" s="92" t="s">
        <v>43</v>
      </c>
      <c r="U95" s="92" t="s">
        <v>43</v>
      </c>
      <c r="V95" s="92" t="s">
        <v>43</v>
      </c>
      <c r="W95" s="92" t="s">
        <v>43</v>
      </c>
      <c r="X95" s="92" t="s">
        <v>43</v>
      </c>
      <c r="Y95" s="92" t="s">
        <v>43</v>
      </c>
      <c r="Z95" s="92" t="s">
        <v>43</v>
      </c>
      <c r="AA95" s="92" t="s">
        <v>43</v>
      </c>
      <c r="AB95" s="92" t="s">
        <v>43</v>
      </c>
      <c r="AC95" s="16"/>
      <c r="AD95" s="6" t="s">
        <v>44</v>
      </c>
      <c r="AE95" s="93">
        <v>1</v>
      </c>
      <c r="AF95" s="94"/>
    </row>
    <row r="96" ht="23.1" customHeight="1" spans="1:33">
      <c r="A96" s="5">
        <f t="shared" si="2"/>
        <v>93</v>
      </c>
      <c r="B96" s="119" t="s">
        <v>200</v>
      </c>
      <c r="C96" s="5" t="s">
        <v>174</v>
      </c>
      <c r="D96" s="6" t="s">
        <v>40</v>
      </c>
      <c r="E96" s="6" t="s">
        <v>201</v>
      </c>
      <c r="F96" s="6" t="s">
        <v>201</v>
      </c>
      <c r="G96" s="6" t="s">
        <v>67</v>
      </c>
      <c r="H96" s="92" t="s">
        <v>43</v>
      </c>
      <c r="I96" s="5"/>
      <c r="J96" s="5"/>
      <c r="K96" s="5"/>
      <c r="L96" s="5"/>
      <c r="M96" s="89" t="str">
        <f t="shared" si="3"/>
        <v>SPIC_JTTG_XXXX_XXXX_01项目管理类_013文档管理办法_V1.0_20260106</v>
      </c>
      <c r="N96" s="90" t="s">
        <v>35</v>
      </c>
      <c r="O96" s="92" t="s">
        <v>49</v>
      </c>
      <c r="P96" s="92" t="s">
        <v>49</v>
      </c>
      <c r="Q96" s="92" t="s">
        <v>49</v>
      </c>
      <c r="R96" s="92" t="s">
        <v>49</v>
      </c>
      <c r="S96" s="92" t="s">
        <v>49</v>
      </c>
      <c r="T96" s="92" t="s">
        <v>49</v>
      </c>
      <c r="U96" s="92" t="s">
        <v>49</v>
      </c>
      <c r="V96" s="92" t="s">
        <v>49</v>
      </c>
      <c r="W96" s="92" t="s">
        <v>49</v>
      </c>
      <c r="X96" s="92" t="s">
        <v>49</v>
      </c>
      <c r="Y96" s="92" t="s">
        <v>49</v>
      </c>
      <c r="Z96" s="92" t="s">
        <v>49</v>
      </c>
      <c r="AA96" s="92" t="s">
        <v>49</v>
      </c>
      <c r="AB96" s="92" t="s">
        <v>43</v>
      </c>
      <c r="AC96" s="16"/>
      <c r="AD96" s="6" t="s">
        <v>50</v>
      </c>
      <c r="AE96" s="93">
        <v>0</v>
      </c>
      <c r="AF96" s="94"/>
    </row>
    <row r="97" ht="23.1" customHeight="1" spans="1:32">
      <c r="A97" s="5">
        <f t="shared" si="2"/>
        <v>94</v>
      </c>
      <c r="B97" s="119" t="s">
        <v>202</v>
      </c>
      <c r="C97" s="5" t="s">
        <v>174</v>
      </c>
      <c r="D97" s="6" t="s">
        <v>40</v>
      </c>
      <c r="E97" s="5" t="s">
        <v>203</v>
      </c>
      <c r="F97" s="5" t="s">
        <v>203</v>
      </c>
      <c r="G97" s="6" t="s">
        <v>67</v>
      </c>
      <c r="H97" s="92" t="s">
        <v>43</v>
      </c>
      <c r="I97" s="5"/>
      <c r="J97" s="5"/>
      <c r="K97" s="5"/>
      <c r="L97" s="5"/>
      <c r="M97" s="89" t="str">
        <f t="shared" si="3"/>
        <v>SPIC_JTTG_XXXX_XXXX_01项目管理类_014项目问题及风险管理办法_V1.0_20260106</v>
      </c>
      <c r="N97" s="90" t="s">
        <v>35</v>
      </c>
      <c r="O97" s="92" t="s">
        <v>49</v>
      </c>
      <c r="P97" s="92" t="s">
        <v>49</v>
      </c>
      <c r="Q97" s="92" t="s">
        <v>49</v>
      </c>
      <c r="R97" s="92" t="s">
        <v>49</v>
      </c>
      <c r="S97" s="92" t="s">
        <v>49</v>
      </c>
      <c r="T97" s="92" t="s">
        <v>49</v>
      </c>
      <c r="U97" s="92" t="s">
        <v>49</v>
      </c>
      <c r="V97" s="92" t="s">
        <v>49</v>
      </c>
      <c r="W97" s="92" t="s">
        <v>49</v>
      </c>
      <c r="X97" s="92" t="s">
        <v>49</v>
      </c>
      <c r="Y97" s="92" t="s">
        <v>49</v>
      </c>
      <c r="Z97" s="92" t="s">
        <v>49</v>
      </c>
      <c r="AA97" s="92" t="s">
        <v>49</v>
      </c>
      <c r="AB97" s="92" t="s">
        <v>43</v>
      </c>
      <c r="AC97" s="16"/>
      <c r="AD97" s="6" t="s">
        <v>50</v>
      </c>
      <c r="AE97" s="93">
        <v>0</v>
      </c>
      <c r="AF97" s="94"/>
    </row>
    <row r="98" ht="23.1" customHeight="1" spans="1:32">
      <c r="A98" s="5">
        <f t="shared" si="2"/>
        <v>95</v>
      </c>
      <c r="B98" s="119" t="s">
        <v>204</v>
      </c>
      <c r="C98" s="5" t="s">
        <v>174</v>
      </c>
      <c r="D98" s="6" t="s">
        <v>105</v>
      </c>
      <c r="E98" s="5" t="s">
        <v>205</v>
      </c>
      <c r="F98" s="5" t="s">
        <v>205</v>
      </c>
      <c r="G98" s="6" t="s">
        <v>67</v>
      </c>
      <c r="H98" s="92" t="s">
        <v>43</v>
      </c>
      <c r="I98" s="5"/>
      <c r="J98" s="5"/>
      <c r="K98" s="5"/>
      <c r="L98" s="5"/>
      <c r="M98" s="89" t="str">
        <f t="shared" si="3"/>
        <v>SPIC_JTTG_XXXX_XXXX_03技术管理类_015技术开发管控办法_V1.0_20260106</v>
      </c>
      <c r="N98" s="90" t="s">
        <v>35</v>
      </c>
      <c r="O98" s="92" t="s">
        <v>49</v>
      </c>
      <c r="P98" s="92" t="s">
        <v>49</v>
      </c>
      <c r="Q98" s="92" t="s">
        <v>49</v>
      </c>
      <c r="R98" s="92" t="s">
        <v>49</v>
      </c>
      <c r="S98" s="92" t="s">
        <v>49</v>
      </c>
      <c r="T98" s="92" t="s">
        <v>49</v>
      </c>
      <c r="U98" s="92" t="s">
        <v>49</v>
      </c>
      <c r="V98" s="92" t="s">
        <v>49</v>
      </c>
      <c r="W98" s="92" t="s">
        <v>49</v>
      </c>
      <c r="X98" s="92" t="s">
        <v>49</v>
      </c>
      <c r="Y98" s="92" t="s">
        <v>49</v>
      </c>
      <c r="Z98" s="92" t="s">
        <v>43</v>
      </c>
      <c r="AA98" s="92" t="s">
        <v>49</v>
      </c>
      <c r="AB98" s="92" t="s">
        <v>43</v>
      </c>
      <c r="AC98" s="16"/>
      <c r="AD98" s="6" t="s">
        <v>50</v>
      </c>
      <c r="AE98" s="93">
        <v>1</v>
      </c>
      <c r="AF98" s="94"/>
    </row>
    <row r="99" ht="23.1" customHeight="1" spans="1:32">
      <c r="A99" s="5">
        <f t="shared" si="2"/>
        <v>96</v>
      </c>
      <c r="B99" s="119" t="s">
        <v>206</v>
      </c>
      <c r="C99" s="5" t="s">
        <v>174</v>
      </c>
      <c r="D99" s="6" t="s">
        <v>40</v>
      </c>
      <c r="E99" s="6" t="s">
        <v>207</v>
      </c>
      <c r="F99" s="6" t="s">
        <v>207</v>
      </c>
      <c r="G99" s="6" t="s">
        <v>67</v>
      </c>
      <c r="H99" s="92" t="s">
        <v>43</v>
      </c>
      <c r="I99" s="5"/>
      <c r="J99" s="5"/>
      <c r="K99" s="5"/>
      <c r="L99" s="5"/>
      <c r="M99" s="89" t="str">
        <f t="shared" si="3"/>
        <v>SPIC_JTTG_XXXX_XXXX_01项目管理类_016交付质量管理办法_V1.0_20260106</v>
      </c>
      <c r="N99" s="90" t="s">
        <v>35</v>
      </c>
      <c r="O99" s="92" t="s">
        <v>49</v>
      </c>
      <c r="P99" s="92" t="s">
        <v>49</v>
      </c>
      <c r="Q99" s="92" t="s">
        <v>49</v>
      </c>
      <c r="R99" s="92" t="s">
        <v>49</v>
      </c>
      <c r="S99" s="92" t="s">
        <v>49</v>
      </c>
      <c r="T99" s="92" t="s">
        <v>49</v>
      </c>
      <c r="U99" s="92" t="s">
        <v>49</v>
      </c>
      <c r="V99" s="92" t="s">
        <v>49</v>
      </c>
      <c r="W99" s="92" t="s">
        <v>49</v>
      </c>
      <c r="X99" s="92" t="s">
        <v>49</v>
      </c>
      <c r="Y99" s="92" t="s">
        <v>49</v>
      </c>
      <c r="Z99" s="92" t="s">
        <v>49</v>
      </c>
      <c r="AA99" s="92" t="s">
        <v>49</v>
      </c>
      <c r="AB99" s="92" t="s">
        <v>43</v>
      </c>
      <c r="AC99" s="16"/>
      <c r="AD99" s="6" t="s">
        <v>50</v>
      </c>
      <c r="AE99" s="93">
        <v>0</v>
      </c>
      <c r="AF99" s="94"/>
    </row>
    <row r="100" ht="23.1" customHeight="1" spans="1:32">
      <c r="A100" s="5">
        <f t="shared" si="2"/>
        <v>97</v>
      </c>
      <c r="B100" s="119" t="s">
        <v>208</v>
      </c>
      <c r="C100" s="5" t="s">
        <v>174</v>
      </c>
      <c r="D100" s="6" t="s">
        <v>40</v>
      </c>
      <c r="E100" s="5" t="s">
        <v>209</v>
      </c>
      <c r="F100" s="5" t="s">
        <v>209</v>
      </c>
      <c r="G100" s="6" t="s">
        <v>67</v>
      </c>
      <c r="H100" s="92" t="s">
        <v>43</v>
      </c>
      <c r="I100" s="5"/>
      <c r="J100" s="5"/>
      <c r="K100" s="5"/>
      <c r="L100" s="5"/>
      <c r="M100" s="89" t="str">
        <f t="shared" si="3"/>
        <v>SPIC_JTTG_XXXX_XXXX_01项目管理类_017沟通机制_V1.0_20260106</v>
      </c>
      <c r="N100" s="90" t="s">
        <v>35</v>
      </c>
      <c r="O100" s="92" t="s">
        <v>49</v>
      </c>
      <c r="P100" s="92" t="s">
        <v>49</v>
      </c>
      <c r="Q100" s="92" t="s">
        <v>49</v>
      </c>
      <c r="R100" s="92" t="s">
        <v>49</v>
      </c>
      <c r="S100" s="92" t="s">
        <v>49</v>
      </c>
      <c r="T100" s="92" t="s">
        <v>49</v>
      </c>
      <c r="U100" s="92" t="s">
        <v>49</v>
      </c>
      <c r="V100" s="92" t="s">
        <v>49</v>
      </c>
      <c r="W100" s="92" t="s">
        <v>49</v>
      </c>
      <c r="X100" s="92" t="s">
        <v>49</v>
      </c>
      <c r="Y100" s="92" t="s">
        <v>49</v>
      </c>
      <c r="Z100" s="92" t="s">
        <v>49</v>
      </c>
      <c r="AA100" s="92" t="s">
        <v>49</v>
      </c>
      <c r="AB100" s="92" t="s">
        <v>43</v>
      </c>
      <c r="AC100" s="16"/>
      <c r="AD100" s="6" t="s">
        <v>44</v>
      </c>
      <c r="AE100" s="93">
        <v>1</v>
      </c>
      <c r="AF100" s="94"/>
    </row>
    <row r="101" ht="23.1" customHeight="1" spans="1:32">
      <c r="A101" s="5">
        <f t="shared" si="2"/>
        <v>98</v>
      </c>
      <c r="B101" s="119" t="s">
        <v>210</v>
      </c>
      <c r="C101" s="5" t="s">
        <v>174</v>
      </c>
      <c r="D101" s="6" t="s">
        <v>40</v>
      </c>
      <c r="E101" s="5" t="s">
        <v>211</v>
      </c>
      <c r="F101" s="5" t="s">
        <v>211</v>
      </c>
      <c r="G101" s="6" t="s">
        <v>67</v>
      </c>
      <c r="H101" s="92" t="s">
        <v>43</v>
      </c>
      <c r="I101" s="5"/>
      <c r="J101" s="5"/>
      <c r="K101" s="5"/>
      <c r="L101" s="5"/>
      <c r="M101" s="89" t="str">
        <f t="shared" si="3"/>
        <v>SPIC_JTTG_XXXX_XXXX_01项目管理类_018进度管理机制_V1.0_20260106</v>
      </c>
      <c r="N101" s="90" t="s">
        <v>35</v>
      </c>
      <c r="O101" s="92" t="s">
        <v>49</v>
      </c>
      <c r="P101" s="92" t="s">
        <v>49</v>
      </c>
      <c r="Q101" s="92" t="s">
        <v>49</v>
      </c>
      <c r="R101" s="92" t="s">
        <v>49</v>
      </c>
      <c r="S101" s="92" t="s">
        <v>49</v>
      </c>
      <c r="T101" s="92" t="s">
        <v>49</v>
      </c>
      <c r="U101" s="92" t="s">
        <v>49</v>
      </c>
      <c r="V101" s="92" t="s">
        <v>49</v>
      </c>
      <c r="W101" s="92" t="s">
        <v>49</v>
      </c>
      <c r="X101" s="92" t="s">
        <v>49</v>
      </c>
      <c r="Y101" s="92" t="s">
        <v>49</v>
      </c>
      <c r="Z101" s="92" t="s">
        <v>49</v>
      </c>
      <c r="AA101" s="92" t="s">
        <v>49</v>
      </c>
      <c r="AB101" s="92" t="s">
        <v>43</v>
      </c>
      <c r="AC101" s="16"/>
      <c r="AD101" s="6" t="s">
        <v>50</v>
      </c>
      <c r="AE101" s="93">
        <v>0</v>
      </c>
      <c r="AF101" s="94"/>
    </row>
    <row r="102" ht="23.1" customHeight="1" spans="1:32">
      <c r="A102" s="5">
        <f t="shared" si="2"/>
        <v>99</v>
      </c>
      <c r="B102" s="119" t="s">
        <v>212</v>
      </c>
      <c r="C102" s="5" t="s">
        <v>174</v>
      </c>
      <c r="D102" s="6" t="s">
        <v>40</v>
      </c>
      <c r="E102" s="5" t="s">
        <v>213</v>
      </c>
      <c r="F102" s="5" t="s">
        <v>213</v>
      </c>
      <c r="G102" s="6" t="s">
        <v>67</v>
      </c>
      <c r="H102" s="92" t="s">
        <v>43</v>
      </c>
      <c r="I102" s="5"/>
      <c r="J102" s="5"/>
      <c r="K102" s="5"/>
      <c r="L102" s="5"/>
      <c r="M102" s="89" t="str">
        <f t="shared" si="3"/>
        <v>SPIC_JTTG_XXXX_XXXX_01项目管理类_019项目变更管理办法_V1.0_20260106</v>
      </c>
      <c r="N102" s="90" t="s">
        <v>35</v>
      </c>
      <c r="O102" s="92" t="s">
        <v>49</v>
      </c>
      <c r="P102" s="92" t="s">
        <v>49</v>
      </c>
      <c r="Q102" s="92" t="s">
        <v>49</v>
      </c>
      <c r="R102" s="92" t="s">
        <v>49</v>
      </c>
      <c r="S102" s="92" t="s">
        <v>49</v>
      </c>
      <c r="T102" s="92" t="s">
        <v>49</v>
      </c>
      <c r="U102" s="92" t="s">
        <v>49</v>
      </c>
      <c r="V102" s="92" t="s">
        <v>49</v>
      </c>
      <c r="W102" s="92" t="s">
        <v>49</v>
      </c>
      <c r="X102" s="92" t="s">
        <v>49</v>
      </c>
      <c r="Y102" s="92" t="s">
        <v>49</v>
      </c>
      <c r="Z102" s="92" t="s">
        <v>49</v>
      </c>
      <c r="AA102" s="92" t="s">
        <v>49</v>
      </c>
      <c r="AB102" s="92" t="s">
        <v>43</v>
      </c>
      <c r="AC102" s="16"/>
      <c r="AD102" s="6" t="s">
        <v>50</v>
      </c>
      <c r="AE102" s="93">
        <v>0</v>
      </c>
      <c r="AF102" s="94"/>
    </row>
    <row r="103" ht="23.1" customHeight="1" spans="1:32">
      <c r="A103" s="5">
        <f t="shared" si="2"/>
        <v>100</v>
      </c>
      <c r="B103" s="119" t="s">
        <v>214</v>
      </c>
      <c r="C103" s="5" t="s">
        <v>174</v>
      </c>
      <c r="D103" s="6" t="s">
        <v>40</v>
      </c>
      <c r="E103" s="5" t="s">
        <v>215</v>
      </c>
      <c r="F103" s="5" t="s">
        <v>215</v>
      </c>
      <c r="G103" s="6" t="s">
        <v>67</v>
      </c>
      <c r="H103" s="92" t="s">
        <v>43</v>
      </c>
      <c r="I103" s="5"/>
      <c r="J103" s="5"/>
      <c r="K103" s="5"/>
      <c r="L103" s="5"/>
      <c r="M103" s="89" t="str">
        <f t="shared" si="3"/>
        <v>SPIC_JTTG_XXXX_XXXX_01项目管理类_020宣传培训工作制度_V1.0_20260106</v>
      </c>
      <c r="N103" s="90" t="s">
        <v>35</v>
      </c>
      <c r="O103" s="92" t="s">
        <v>49</v>
      </c>
      <c r="P103" s="92" t="s">
        <v>49</v>
      </c>
      <c r="Q103" s="92" t="s">
        <v>49</v>
      </c>
      <c r="R103" s="92" t="s">
        <v>49</v>
      </c>
      <c r="S103" s="92" t="s">
        <v>49</v>
      </c>
      <c r="T103" s="92" t="s">
        <v>49</v>
      </c>
      <c r="U103" s="92" t="s">
        <v>49</v>
      </c>
      <c r="V103" s="92" t="s">
        <v>49</v>
      </c>
      <c r="W103" s="92" t="s">
        <v>49</v>
      </c>
      <c r="X103" s="92" t="s">
        <v>49</v>
      </c>
      <c r="Y103" s="92" t="s">
        <v>49</v>
      </c>
      <c r="Z103" s="92" t="s">
        <v>49</v>
      </c>
      <c r="AA103" s="92" t="s">
        <v>49</v>
      </c>
      <c r="AB103" s="92" t="s">
        <v>43</v>
      </c>
      <c r="AC103" s="16"/>
      <c r="AD103" s="6" t="s">
        <v>50</v>
      </c>
      <c r="AE103" s="93">
        <v>0</v>
      </c>
      <c r="AF103" s="94"/>
    </row>
    <row r="104" ht="23.1" customHeight="1" spans="1:32">
      <c r="A104" s="5">
        <f t="shared" si="2"/>
        <v>101</v>
      </c>
      <c r="B104" s="119" t="s">
        <v>216</v>
      </c>
      <c r="C104" s="5" t="s">
        <v>174</v>
      </c>
      <c r="D104" s="6" t="s">
        <v>40</v>
      </c>
      <c r="E104" s="5" t="s">
        <v>217</v>
      </c>
      <c r="F104" s="5" t="s">
        <v>217</v>
      </c>
      <c r="G104" s="6" t="s">
        <v>67</v>
      </c>
      <c r="H104" s="92" t="s">
        <v>43</v>
      </c>
      <c r="I104" s="5"/>
      <c r="J104" s="5"/>
      <c r="K104" s="5"/>
      <c r="L104" s="5"/>
      <c r="M104" s="89" t="str">
        <f t="shared" si="3"/>
        <v>SPIC_JTTG_XXXX_XXXX_01项目管理类_021项目人员入离场管理办法_V1.0_20260106</v>
      </c>
      <c r="N104" s="90" t="s">
        <v>35</v>
      </c>
      <c r="O104" s="92" t="s">
        <v>49</v>
      </c>
      <c r="P104" s="92" t="s">
        <v>49</v>
      </c>
      <c r="Q104" s="92" t="s">
        <v>49</v>
      </c>
      <c r="R104" s="92" t="s">
        <v>49</v>
      </c>
      <c r="S104" s="92" t="s">
        <v>49</v>
      </c>
      <c r="T104" s="92" t="s">
        <v>49</v>
      </c>
      <c r="U104" s="92" t="s">
        <v>49</v>
      </c>
      <c r="V104" s="92" t="s">
        <v>49</v>
      </c>
      <c r="W104" s="92" t="s">
        <v>49</v>
      </c>
      <c r="X104" s="92" t="s">
        <v>49</v>
      </c>
      <c r="Y104" s="92" t="s">
        <v>49</v>
      </c>
      <c r="Z104" s="92" t="s">
        <v>49</v>
      </c>
      <c r="AA104" s="92" t="s">
        <v>49</v>
      </c>
      <c r="AB104" s="92" t="s">
        <v>43</v>
      </c>
      <c r="AC104" s="16"/>
      <c r="AD104" s="6" t="s">
        <v>44</v>
      </c>
      <c r="AE104" s="93">
        <v>1</v>
      </c>
      <c r="AF104" s="94"/>
    </row>
    <row r="105" ht="19.45" customHeight="1" spans="1:32">
      <c r="A105" s="5">
        <f t="shared" si="2"/>
        <v>102</v>
      </c>
      <c r="B105" s="119" t="s">
        <v>218</v>
      </c>
      <c r="C105" s="5" t="s">
        <v>174</v>
      </c>
      <c r="D105" s="6" t="s">
        <v>40</v>
      </c>
      <c r="E105" s="5" t="s">
        <v>219</v>
      </c>
      <c r="F105" s="5" t="s">
        <v>219</v>
      </c>
      <c r="G105" s="6" t="s">
        <v>67</v>
      </c>
      <c r="H105" s="92" t="s">
        <v>43</v>
      </c>
      <c r="I105" s="5"/>
      <c r="J105" s="5"/>
      <c r="K105" s="5"/>
      <c r="L105" s="5"/>
      <c r="M105" s="89" t="str">
        <f t="shared" si="3"/>
        <v>SPIC_JTTG_XXXX_XXXX_01项目管理类_022考勤管理机制_V1.0_20260106</v>
      </c>
      <c r="N105" s="90" t="s">
        <v>35</v>
      </c>
      <c r="O105" s="92" t="s">
        <v>49</v>
      </c>
      <c r="P105" s="92" t="s">
        <v>49</v>
      </c>
      <c r="Q105" s="92" t="s">
        <v>49</v>
      </c>
      <c r="R105" s="92" t="s">
        <v>49</v>
      </c>
      <c r="S105" s="92" t="s">
        <v>49</v>
      </c>
      <c r="T105" s="92" t="s">
        <v>49</v>
      </c>
      <c r="U105" s="92" t="s">
        <v>49</v>
      </c>
      <c r="V105" s="92" t="s">
        <v>49</v>
      </c>
      <c r="W105" s="92" t="s">
        <v>49</v>
      </c>
      <c r="X105" s="92" t="s">
        <v>49</v>
      </c>
      <c r="Y105" s="92" t="s">
        <v>49</v>
      </c>
      <c r="Z105" s="92" t="s">
        <v>49</v>
      </c>
      <c r="AA105" s="92" t="s">
        <v>49</v>
      </c>
      <c r="AB105" s="92" t="s">
        <v>43</v>
      </c>
      <c r="AC105" s="16"/>
      <c r="AD105" s="6" t="s">
        <v>44</v>
      </c>
      <c r="AE105" s="93">
        <v>1</v>
      </c>
      <c r="AF105" s="94"/>
    </row>
    <row r="106" ht="24.75" customHeight="1" spans="1:32">
      <c r="A106" s="5">
        <f t="shared" si="2"/>
        <v>103</v>
      </c>
      <c r="B106" s="119" t="s">
        <v>220</v>
      </c>
      <c r="C106" s="5" t="s">
        <v>174</v>
      </c>
      <c r="D106" s="6" t="s">
        <v>40</v>
      </c>
      <c r="E106" s="5" t="s">
        <v>221</v>
      </c>
      <c r="F106" s="5" t="s">
        <v>221</v>
      </c>
      <c r="G106" s="6" t="s">
        <v>67</v>
      </c>
      <c r="H106" s="92" t="s">
        <v>43</v>
      </c>
      <c r="I106" s="5"/>
      <c r="J106" s="5"/>
      <c r="K106" s="5"/>
      <c r="L106" s="5"/>
      <c r="M106" s="89" t="str">
        <f t="shared" si="3"/>
        <v>SPIC_JTTG_XXXX_XXXX_01项目管理类_023厂商考评管理办法_V1.0_20260106</v>
      </c>
      <c r="N106" s="90" t="s">
        <v>35</v>
      </c>
      <c r="O106" s="92" t="s">
        <v>49</v>
      </c>
      <c r="P106" s="92" t="s">
        <v>49</v>
      </c>
      <c r="Q106" s="92" t="s">
        <v>49</v>
      </c>
      <c r="R106" s="92" t="s">
        <v>49</v>
      </c>
      <c r="S106" s="92" t="s">
        <v>49</v>
      </c>
      <c r="T106" s="92" t="s">
        <v>49</v>
      </c>
      <c r="U106" s="92" t="s">
        <v>49</v>
      </c>
      <c r="V106" s="92" t="s">
        <v>49</v>
      </c>
      <c r="W106" s="92" t="s">
        <v>49</v>
      </c>
      <c r="X106" s="92" t="s">
        <v>49</v>
      </c>
      <c r="Y106" s="92" t="s">
        <v>49</v>
      </c>
      <c r="Z106" s="92" t="s">
        <v>49</v>
      </c>
      <c r="AA106" s="92" t="s">
        <v>49</v>
      </c>
      <c r="AB106" s="92" t="s">
        <v>43</v>
      </c>
      <c r="AC106" s="16"/>
      <c r="AD106" s="6" t="s">
        <v>50</v>
      </c>
      <c r="AE106" s="93">
        <v>0</v>
      </c>
      <c r="AF106" s="94"/>
    </row>
    <row r="107" ht="23.1" customHeight="1" spans="1:32">
      <c r="A107" s="5">
        <f t="shared" si="2"/>
        <v>104</v>
      </c>
      <c r="B107" s="119" t="s">
        <v>222</v>
      </c>
      <c r="C107" s="5" t="s">
        <v>174</v>
      </c>
      <c r="D107" s="6" t="s">
        <v>40</v>
      </c>
      <c r="E107" s="6" t="s">
        <v>223</v>
      </c>
      <c r="F107" s="6" t="s">
        <v>223</v>
      </c>
      <c r="G107" s="6" t="s">
        <v>52</v>
      </c>
      <c r="H107" s="92" t="s">
        <v>43</v>
      </c>
      <c r="I107" s="5"/>
      <c r="J107" s="5"/>
      <c r="K107" s="5"/>
      <c r="L107" s="5"/>
      <c r="M107" s="89" t="str">
        <f t="shared" si="3"/>
        <v>SPIC_JTTG_XXXX_XXXX_01项目管理类_024项目质量管理办法_V1.0_20260106</v>
      </c>
      <c r="N107" s="90" t="s">
        <v>35</v>
      </c>
      <c r="O107" s="92" t="s">
        <v>49</v>
      </c>
      <c r="P107" s="92" t="s">
        <v>49</v>
      </c>
      <c r="Q107" s="92" t="s">
        <v>49</v>
      </c>
      <c r="R107" s="92" t="s">
        <v>49</v>
      </c>
      <c r="S107" s="92" t="s">
        <v>49</v>
      </c>
      <c r="T107" s="92" t="s">
        <v>49</v>
      </c>
      <c r="U107" s="92" t="s">
        <v>49</v>
      </c>
      <c r="V107" s="92" t="s">
        <v>49</v>
      </c>
      <c r="W107" s="92" t="s">
        <v>49</v>
      </c>
      <c r="X107" s="92" t="s">
        <v>49</v>
      </c>
      <c r="Y107" s="92" t="s">
        <v>49</v>
      </c>
      <c r="Z107" s="92" t="s">
        <v>49</v>
      </c>
      <c r="AA107" s="92" t="s">
        <v>49</v>
      </c>
      <c r="AB107" s="92" t="s">
        <v>43</v>
      </c>
      <c r="AC107" s="16"/>
      <c r="AD107" s="6" t="s">
        <v>50</v>
      </c>
      <c r="AE107" s="93">
        <v>0</v>
      </c>
      <c r="AF107" s="94"/>
    </row>
    <row r="108" ht="23.1" customHeight="1" spans="1:32">
      <c r="A108" s="5">
        <f t="shared" si="2"/>
        <v>105</v>
      </c>
      <c r="B108" s="119" t="s">
        <v>224</v>
      </c>
      <c r="C108" s="5" t="s">
        <v>174</v>
      </c>
      <c r="D108" s="6" t="s">
        <v>40</v>
      </c>
      <c r="E108" s="6" t="s">
        <v>225</v>
      </c>
      <c r="F108" s="6" t="s">
        <v>225</v>
      </c>
      <c r="G108" s="6" t="s">
        <v>67</v>
      </c>
      <c r="H108" s="92" t="s">
        <v>43</v>
      </c>
      <c r="I108" s="5"/>
      <c r="J108" s="5"/>
      <c r="K108" s="5"/>
      <c r="L108" s="5"/>
      <c r="M108" s="89" t="str">
        <f t="shared" si="3"/>
        <v>SPIC_JTTG_XXXX_XXXX_01项目管理类_025需求评审材料_V1.0_20260106</v>
      </c>
      <c r="N108" s="98"/>
      <c r="O108" s="92" t="s">
        <v>43</v>
      </c>
      <c r="P108" s="92" t="s">
        <v>43</v>
      </c>
      <c r="Q108" s="92" t="s">
        <v>43</v>
      </c>
      <c r="R108" s="92" t="s">
        <v>43</v>
      </c>
      <c r="S108" s="92" t="s">
        <v>43</v>
      </c>
      <c r="T108" s="92" t="s">
        <v>43</v>
      </c>
      <c r="U108" s="92" t="s">
        <v>43</v>
      </c>
      <c r="V108" s="92" t="s">
        <v>43</v>
      </c>
      <c r="W108" s="92" t="s">
        <v>43</v>
      </c>
      <c r="X108" s="92" t="s">
        <v>43</v>
      </c>
      <c r="Y108" s="92" t="s">
        <v>43</v>
      </c>
      <c r="Z108" s="92"/>
      <c r="AA108" s="92"/>
      <c r="AB108" s="92"/>
      <c r="AC108" s="16"/>
      <c r="AD108" s="6" t="s">
        <v>50</v>
      </c>
      <c r="AE108" s="93">
        <v>0</v>
      </c>
      <c r="AF108" s="94"/>
    </row>
    <row r="109" ht="23.1" customHeight="1" spans="1:32">
      <c r="A109" s="5">
        <f t="shared" si="2"/>
        <v>106</v>
      </c>
      <c r="B109" s="119" t="s">
        <v>226</v>
      </c>
      <c r="C109" s="5" t="s">
        <v>174</v>
      </c>
      <c r="D109" s="6" t="s">
        <v>40</v>
      </c>
      <c r="E109" s="5" t="s">
        <v>227</v>
      </c>
      <c r="F109" s="5" t="s">
        <v>227</v>
      </c>
      <c r="G109" s="110" t="s">
        <v>126</v>
      </c>
      <c r="H109" s="92" t="s">
        <v>43</v>
      </c>
      <c r="I109" s="5"/>
      <c r="J109" s="5"/>
      <c r="K109" s="5"/>
      <c r="L109" s="5"/>
      <c r="M109" s="89" t="str">
        <f t="shared" si="3"/>
        <v>SPIC_JTTG_XXXX_XXXX_01项目管理类_026需求评审记录_V1.0_20260106</v>
      </c>
      <c r="N109" s="98"/>
      <c r="O109" s="92" t="s">
        <v>43</v>
      </c>
      <c r="P109" s="92" t="s">
        <v>43</v>
      </c>
      <c r="Q109" s="92" t="s">
        <v>43</v>
      </c>
      <c r="R109" s="92" t="s">
        <v>43</v>
      </c>
      <c r="S109" s="92" t="s">
        <v>43</v>
      </c>
      <c r="T109" s="92" t="s">
        <v>43</v>
      </c>
      <c r="U109" s="92" t="s">
        <v>43</v>
      </c>
      <c r="V109" s="92" t="s">
        <v>43</v>
      </c>
      <c r="W109" s="92" t="s">
        <v>43</v>
      </c>
      <c r="X109" s="92" t="s">
        <v>43</v>
      </c>
      <c r="Y109" s="92" t="s">
        <v>43</v>
      </c>
      <c r="Z109" s="92"/>
      <c r="AA109" s="92"/>
      <c r="AB109" s="92"/>
      <c r="AC109" s="16"/>
      <c r="AD109" s="6" t="s">
        <v>44</v>
      </c>
      <c r="AE109" s="93">
        <v>1</v>
      </c>
      <c r="AF109" s="94"/>
    </row>
    <row r="110" ht="23.1" customHeight="1" spans="1:32">
      <c r="A110" s="5">
        <f t="shared" si="2"/>
        <v>107</v>
      </c>
      <c r="B110" s="119" t="s">
        <v>228</v>
      </c>
      <c r="C110" s="5" t="s">
        <v>174</v>
      </c>
      <c r="D110" s="6" t="s">
        <v>40</v>
      </c>
      <c r="E110" s="5" t="s">
        <v>229</v>
      </c>
      <c r="F110" s="5" t="s">
        <v>229</v>
      </c>
      <c r="G110" s="6" t="s">
        <v>67</v>
      </c>
      <c r="H110" s="92" t="s">
        <v>43</v>
      </c>
      <c r="I110" s="5"/>
      <c r="J110" s="5"/>
      <c r="K110" s="5"/>
      <c r="L110" s="5"/>
      <c r="M110" s="89" t="str">
        <f t="shared" si="3"/>
        <v>SPIC_JTTG_XXXX_XXXX_01项目管理类_027评审会议纪要_V1.0_20260106</v>
      </c>
      <c r="N110" s="98"/>
      <c r="O110" s="92" t="s">
        <v>43</v>
      </c>
      <c r="P110" s="92" t="s">
        <v>43</v>
      </c>
      <c r="Q110" s="92" t="s">
        <v>43</v>
      </c>
      <c r="R110" s="92" t="s">
        <v>43</v>
      </c>
      <c r="S110" s="92" t="s">
        <v>43</v>
      </c>
      <c r="T110" s="92" t="s">
        <v>43</v>
      </c>
      <c r="U110" s="92" t="s">
        <v>43</v>
      </c>
      <c r="V110" s="92" t="s">
        <v>43</v>
      </c>
      <c r="W110" s="92" t="s">
        <v>43</v>
      </c>
      <c r="X110" s="92" t="s">
        <v>43</v>
      </c>
      <c r="Y110" s="92" t="s">
        <v>43</v>
      </c>
      <c r="Z110" s="92"/>
      <c r="AA110" s="92"/>
      <c r="AB110" s="92"/>
      <c r="AC110" s="16"/>
      <c r="AD110" s="6" t="s">
        <v>44</v>
      </c>
      <c r="AE110" s="93">
        <v>1</v>
      </c>
      <c r="AF110" s="94"/>
    </row>
    <row r="111" s="65" customFormat="1" ht="23.1" customHeight="1" spans="1:32">
      <c r="A111" s="38">
        <f t="shared" si="2"/>
        <v>108</v>
      </c>
      <c r="B111" s="120" t="s">
        <v>230</v>
      </c>
      <c r="C111" s="38" t="s">
        <v>174</v>
      </c>
      <c r="D111" s="39" t="s">
        <v>105</v>
      </c>
      <c r="E111" s="38" t="s">
        <v>231</v>
      </c>
      <c r="F111" s="38" t="s">
        <v>231</v>
      </c>
      <c r="G111" s="39" t="s">
        <v>67</v>
      </c>
      <c r="H111" s="38" t="s">
        <v>49</v>
      </c>
      <c r="I111" s="38"/>
      <c r="J111" s="38"/>
      <c r="K111" s="38"/>
      <c r="L111" s="38"/>
      <c r="M111" s="111" t="str">
        <f t="shared" si="3"/>
        <v>SPIC_JTTG_XXXX_XXXX_03技术管理类_028系统应急方案_V1.0_20260106</v>
      </c>
      <c r="N111" s="112"/>
      <c r="O111" s="113" t="s">
        <v>49</v>
      </c>
      <c r="P111" s="113" t="s">
        <v>49</v>
      </c>
      <c r="Q111" s="113" t="s">
        <v>49</v>
      </c>
      <c r="R111" s="113" t="s">
        <v>49</v>
      </c>
      <c r="S111" s="113" t="s">
        <v>49</v>
      </c>
      <c r="T111" s="113" t="s">
        <v>49</v>
      </c>
      <c r="U111" s="113" t="s">
        <v>49</v>
      </c>
      <c r="V111" s="113" t="s">
        <v>49</v>
      </c>
      <c r="W111" s="113" t="s">
        <v>49</v>
      </c>
      <c r="X111" s="113" t="s">
        <v>49</v>
      </c>
      <c r="Y111" s="113" t="s">
        <v>49</v>
      </c>
      <c r="Z111" s="113" t="s">
        <v>49</v>
      </c>
      <c r="AA111" s="113" t="s">
        <v>49</v>
      </c>
      <c r="AB111" s="113" t="s">
        <v>43</v>
      </c>
      <c r="AC111" s="41"/>
      <c r="AD111" s="6" t="s">
        <v>48</v>
      </c>
      <c r="AE111" s="93" t="s">
        <v>48</v>
      </c>
      <c r="AF111" s="114"/>
    </row>
    <row r="112" ht="23.1" customHeight="1" spans="1:32">
      <c r="A112" s="5">
        <f t="shared" si="2"/>
        <v>109</v>
      </c>
      <c r="B112" s="119" t="s">
        <v>232</v>
      </c>
      <c r="C112" s="5" t="s">
        <v>174</v>
      </c>
      <c r="D112" s="6" t="s">
        <v>105</v>
      </c>
      <c r="E112" s="6" t="s">
        <v>233</v>
      </c>
      <c r="F112" s="6" t="s">
        <v>233</v>
      </c>
      <c r="G112" s="6" t="s">
        <v>67</v>
      </c>
      <c r="H112" s="92" t="s">
        <v>43</v>
      </c>
      <c r="I112" s="5"/>
      <c r="J112" s="5"/>
      <c r="K112" s="5"/>
      <c r="L112" s="5"/>
      <c r="M112" s="89" t="str">
        <f t="shared" si="3"/>
        <v>SPIC_JTTG_XXXX_XXXX_03技术管理类_029上线安全检测报告_V1.0_20260106</v>
      </c>
      <c r="N112" s="98"/>
      <c r="O112" s="92" t="s">
        <v>43</v>
      </c>
      <c r="P112" s="92" t="s">
        <v>43</v>
      </c>
      <c r="Q112" s="92" t="s">
        <v>43</v>
      </c>
      <c r="R112" s="92" t="s">
        <v>43</v>
      </c>
      <c r="S112" s="92" t="s">
        <v>43</v>
      </c>
      <c r="T112" s="92" t="s">
        <v>43</v>
      </c>
      <c r="U112" s="92" t="s">
        <v>43</v>
      </c>
      <c r="V112" s="92" t="s">
        <v>43</v>
      </c>
      <c r="W112" s="92" t="s">
        <v>43</v>
      </c>
      <c r="X112" s="92" t="s">
        <v>43</v>
      </c>
      <c r="Y112" s="92" t="s">
        <v>43</v>
      </c>
      <c r="Z112" s="92" t="s">
        <v>43</v>
      </c>
      <c r="AA112" s="92" t="s">
        <v>43</v>
      </c>
      <c r="AB112" s="92"/>
      <c r="AC112" s="16"/>
      <c r="AD112" s="6" t="s">
        <v>50</v>
      </c>
      <c r="AE112" s="93">
        <v>0</v>
      </c>
      <c r="AF112" s="94"/>
    </row>
    <row r="113" ht="23.1" customHeight="1" spans="1:33">
      <c r="A113" s="5">
        <f t="shared" si="2"/>
        <v>110</v>
      </c>
      <c r="B113" s="119" t="s">
        <v>234</v>
      </c>
      <c r="C113" s="5" t="s">
        <v>174</v>
      </c>
      <c r="D113" s="6" t="s">
        <v>40</v>
      </c>
      <c r="E113" s="5" t="s">
        <v>235</v>
      </c>
      <c r="F113" s="5" t="s">
        <v>235</v>
      </c>
      <c r="G113" s="6" t="s">
        <v>67</v>
      </c>
      <c r="H113" s="92" t="s">
        <v>43</v>
      </c>
      <c r="I113" s="5"/>
      <c r="J113" s="5"/>
      <c r="K113" s="5"/>
      <c r="L113" s="5"/>
      <c r="M113" s="89" t="str">
        <f t="shared" si="3"/>
        <v>SPIC_JTTG_XXXX_XXXX_01项目管理类_030系统试运行期运维方案_V1.0_20260106</v>
      </c>
      <c r="N113" s="90" t="s">
        <v>35</v>
      </c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 t="s">
        <v>43</v>
      </c>
      <c r="AC113" s="16"/>
      <c r="AD113" s="6" t="s">
        <v>44</v>
      </c>
      <c r="AE113" s="93">
        <v>1</v>
      </c>
      <c r="AF113" s="94"/>
    </row>
    <row r="114" ht="23.1" customHeight="1" spans="1:33">
      <c r="A114" s="5">
        <f t="shared" si="2"/>
        <v>111</v>
      </c>
      <c r="B114" s="119" t="s">
        <v>236</v>
      </c>
      <c r="C114" s="5" t="s">
        <v>174</v>
      </c>
      <c r="D114" s="6" t="s">
        <v>40</v>
      </c>
      <c r="E114" s="5" t="s">
        <v>237</v>
      </c>
      <c r="F114" s="5" t="s">
        <v>237</v>
      </c>
      <c r="G114" s="6" t="s">
        <v>67</v>
      </c>
      <c r="H114" s="92" t="s">
        <v>43</v>
      </c>
      <c r="I114" s="5"/>
      <c r="J114" s="5"/>
      <c r="K114" s="5"/>
      <c r="L114" s="5"/>
      <c r="M114" s="89" t="str">
        <f t="shared" si="3"/>
        <v>SPIC_JTTG_XXXX_XXXX_01项目管理类_031项目总结报告_V1.0_20260106</v>
      </c>
      <c r="N114" s="90" t="s">
        <v>35</v>
      </c>
      <c r="O114" s="92" t="s">
        <v>43</v>
      </c>
      <c r="P114" s="92" t="s">
        <v>43</v>
      </c>
      <c r="Q114" s="92" t="s">
        <v>43</v>
      </c>
      <c r="R114" s="92" t="s">
        <v>43</v>
      </c>
      <c r="S114" s="92" t="s">
        <v>43</v>
      </c>
      <c r="T114" s="92" t="s">
        <v>43</v>
      </c>
      <c r="U114" s="92" t="s">
        <v>43</v>
      </c>
      <c r="V114" s="92" t="s">
        <v>43</v>
      </c>
      <c r="W114" s="92" t="s">
        <v>43</v>
      </c>
      <c r="X114" s="92" t="s">
        <v>43</v>
      </c>
      <c r="Y114" s="92" t="s">
        <v>43</v>
      </c>
      <c r="Z114" s="92" t="s">
        <v>43</v>
      </c>
      <c r="AA114" s="92" t="s">
        <v>43</v>
      </c>
      <c r="AB114" s="92" t="s">
        <v>43</v>
      </c>
      <c r="AC114" s="16"/>
      <c r="AD114" s="6" t="s">
        <v>44</v>
      </c>
      <c r="AE114" s="93">
        <v>1</v>
      </c>
      <c r="AF114" s="94"/>
    </row>
    <row r="115" ht="23.1" customHeight="1" spans="1:33">
      <c r="A115" s="5">
        <f t="shared" si="2"/>
        <v>112</v>
      </c>
      <c r="B115" s="119" t="s">
        <v>238</v>
      </c>
      <c r="C115" s="5" t="s">
        <v>174</v>
      </c>
      <c r="D115" s="6" t="s">
        <v>40</v>
      </c>
      <c r="E115" s="5" t="s">
        <v>239</v>
      </c>
      <c r="F115" s="5" t="s">
        <v>239</v>
      </c>
      <c r="G115" s="6" t="s">
        <v>67</v>
      </c>
      <c r="H115" s="92" t="s">
        <v>43</v>
      </c>
      <c r="I115" s="5"/>
      <c r="J115" s="5"/>
      <c r="K115" s="5"/>
      <c r="L115" s="5"/>
      <c r="M115" s="89" t="str">
        <f t="shared" si="3"/>
        <v>SPIC_JTTG_XXXX_XXXX_01项目管理类_032建转运方案_V1.0_20260106</v>
      </c>
      <c r="N115" s="90" t="s">
        <v>35</v>
      </c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 t="s">
        <v>43</v>
      </c>
      <c r="AC115" s="16"/>
      <c r="AD115" s="6" t="s">
        <v>44</v>
      </c>
      <c r="AE115" s="93">
        <v>1</v>
      </c>
      <c r="AF115" s="94"/>
    </row>
    <row r="116" ht="23.1" customHeight="1" spans="1:33">
      <c r="A116" s="5">
        <f t="shared" si="2"/>
        <v>113</v>
      </c>
      <c r="B116" s="119" t="s">
        <v>240</v>
      </c>
      <c r="C116" s="5" t="s">
        <v>174</v>
      </c>
      <c r="D116" s="6" t="s">
        <v>40</v>
      </c>
      <c r="E116" s="6" t="s">
        <v>241</v>
      </c>
      <c r="F116" s="6" t="s">
        <v>241</v>
      </c>
      <c r="G116" s="6" t="s">
        <v>52</v>
      </c>
      <c r="H116" s="92" t="s">
        <v>43</v>
      </c>
      <c r="I116" s="5"/>
      <c r="J116" s="5"/>
      <c r="K116" s="5"/>
      <c r="L116" s="5"/>
      <c r="M116" s="89" t="str">
        <f t="shared" si="3"/>
        <v>SPIC_JTTG_XXXX_XXXX_01项目管理类_033建转运交接计划及清单_V1.0_20260106</v>
      </c>
      <c r="N116" s="90" t="s">
        <v>35</v>
      </c>
      <c r="O116" s="92" t="s">
        <v>43</v>
      </c>
      <c r="P116" s="92" t="s">
        <v>43</v>
      </c>
      <c r="Q116" s="92" t="s">
        <v>43</v>
      </c>
      <c r="R116" s="92" t="s">
        <v>43</v>
      </c>
      <c r="S116" s="92" t="s">
        <v>43</v>
      </c>
      <c r="T116" s="92" t="s">
        <v>43</v>
      </c>
      <c r="U116" s="92" t="s">
        <v>43</v>
      </c>
      <c r="V116" s="92" t="s">
        <v>43</v>
      </c>
      <c r="W116" s="92" t="s">
        <v>43</v>
      </c>
      <c r="X116" s="92" t="s">
        <v>43</v>
      </c>
      <c r="Y116" s="92" t="s">
        <v>43</v>
      </c>
      <c r="Z116" s="92" t="s">
        <v>43</v>
      </c>
      <c r="AA116" s="92" t="s">
        <v>43</v>
      </c>
      <c r="AB116" s="92" t="s">
        <v>43</v>
      </c>
      <c r="AC116" s="16"/>
      <c r="AD116" s="6" t="s">
        <v>44</v>
      </c>
      <c r="AE116" s="93">
        <v>1</v>
      </c>
      <c r="AF116" s="94"/>
    </row>
    <row r="117" ht="23.1" customHeight="1" spans="1:33">
      <c r="A117" s="5">
        <f t="shared" si="2"/>
        <v>114</v>
      </c>
      <c r="B117" s="119" t="s">
        <v>242</v>
      </c>
      <c r="C117" s="5" t="s">
        <v>174</v>
      </c>
      <c r="D117" s="6" t="s">
        <v>105</v>
      </c>
      <c r="E117" s="5" t="s">
        <v>243</v>
      </c>
      <c r="F117" s="5" t="s">
        <v>243</v>
      </c>
      <c r="G117" s="6" t="s">
        <v>67</v>
      </c>
      <c r="H117" s="92" t="s">
        <v>43</v>
      </c>
      <c r="I117" s="5"/>
      <c r="J117" s="5"/>
      <c r="K117" s="5"/>
      <c r="L117" s="5"/>
      <c r="M117" s="89" t="str">
        <f t="shared" si="3"/>
        <v>SPIC_JTTG_XXXX_XXXX_03技术管理类_034涉及开发的程序/系统源代码_V1.0_20260106</v>
      </c>
      <c r="N117" s="98"/>
      <c r="O117" s="92" t="s">
        <v>49</v>
      </c>
      <c r="P117" s="92" t="s">
        <v>49</v>
      </c>
      <c r="Q117" s="92" t="s">
        <v>49</v>
      </c>
      <c r="R117" s="92" t="s">
        <v>49</v>
      </c>
      <c r="S117" s="92" t="s">
        <v>49</v>
      </c>
      <c r="T117" s="92" t="s">
        <v>49</v>
      </c>
      <c r="U117" s="92" t="s">
        <v>49</v>
      </c>
      <c r="V117" s="92" t="s">
        <v>49</v>
      </c>
      <c r="W117" s="92" t="s">
        <v>49</v>
      </c>
      <c r="X117" s="92" t="s">
        <v>49</v>
      </c>
      <c r="Y117" s="92" t="s">
        <v>49</v>
      </c>
      <c r="Z117" s="92" t="s">
        <v>43</v>
      </c>
      <c r="AA117" s="92" t="s">
        <v>49</v>
      </c>
      <c r="AB117" s="92" t="s">
        <v>49</v>
      </c>
      <c r="AC117" s="16"/>
      <c r="AD117" s="6" t="s">
        <v>50</v>
      </c>
      <c r="AE117" s="93">
        <v>0</v>
      </c>
      <c r="AF117" s="94"/>
    </row>
    <row r="118" ht="23.1" customHeight="1" spans="1:33">
      <c r="A118" s="5">
        <f t="shared" si="2"/>
        <v>115</v>
      </c>
      <c r="B118" s="119" t="s">
        <v>244</v>
      </c>
      <c r="C118" s="5" t="s">
        <v>174</v>
      </c>
      <c r="D118" s="6" t="s">
        <v>40</v>
      </c>
      <c r="E118" s="5" t="s">
        <v>245</v>
      </c>
      <c r="F118" s="5" t="s">
        <v>245</v>
      </c>
      <c r="G118" s="6" t="s">
        <v>52</v>
      </c>
      <c r="H118" s="92" t="s">
        <v>43</v>
      </c>
      <c r="I118" s="5"/>
      <c r="J118" s="5"/>
      <c r="K118" s="5"/>
      <c r="L118" s="5"/>
      <c r="M118" s="89" t="str">
        <f t="shared" si="3"/>
        <v>SPIC_JTTG_XXXX_XXXX_01项目管理类_035建转运问题清单_V1.0_20260106</v>
      </c>
      <c r="N118" s="90" t="s">
        <v>35</v>
      </c>
      <c r="O118" s="92" t="s">
        <v>43</v>
      </c>
      <c r="P118" s="92" t="s">
        <v>43</v>
      </c>
      <c r="Q118" s="92" t="s">
        <v>43</v>
      </c>
      <c r="R118" s="92" t="s">
        <v>43</v>
      </c>
      <c r="S118" s="92" t="s">
        <v>43</v>
      </c>
      <c r="T118" s="92" t="s">
        <v>43</v>
      </c>
      <c r="U118" s="92" t="s">
        <v>43</v>
      </c>
      <c r="V118" s="92" t="s">
        <v>43</v>
      </c>
      <c r="W118" s="92" t="s">
        <v>43</v>
      </c>
      <c r="X118" s="92" t="s">
        <v>43</v>
      </c>
      <c r="Y118" s="92" t="s">
        <v>43</v>
      </c>
      <c r="Z118" s="92" t="s">
        <v>43</v>
      </c>
      <c r="AA118" s="92" t="s">
        <v>43</v>
      </c>
      <c r="AB118" s="92" t="s">
        <v>43</v>
      </c>
      <c r="AC118" s="16"/>
      <c r="AD118" s="6" t="s">
        <v>44</v>
      </c>
      <c r="AE118" s="93">
        <v>1</v>
      </c>
      <c r="AF118" s="94"/>
    </row>
    <row r="119" ht="19.35" customHeight="1" spans="1:33">
      <c r="A119" s="5">
        <f t="shared" si="2"/>
        <v>116</v>
      </c>
      <c r="B119" s="119" t="s">
        <v>246</v>
      </c>
      <c r="C119" s="5" t="s">
        <v>174</v>
      </c>
      <c r="D119" s="6" t="s">
        <v>105</v>
      </c>
      <c r="E119" s="6" t="s">
        <v>247</v>
      </c>
      <c r="F119" s="6" t="s">
        <v>247</v>
      </c>
      <c r="G119" s="6" t="s">
        <v>67</v>
      </c>
      <c r="H119" s="92" t="s">
        <v>43</v>
      </c>
      <c r="I119" s="5"/>
      <c r="J119" s="5"/>
      <c r="K119" s="5"/>
      <c r="L119" s="5"/>
      <c r="M119" s="89" t="str">
        <f t="shared" si="3"/>
        <v>SPIC_JTTG_XXXX_XXXX_03技术管理类_036系统架构与账号创建、传输管理与安全管理规范_V1.0_20260106</v>
      </c>
      <c r="N119" s="98"/>
      <c r="O119" s="92" t="s">
        <v>49</v>
      </c>
      <c r="P119" s="92" t="s">
        <v>49</v>
      </c>
      <c r="Q119" s="92" t="s">
        <v>49</v>
      </c>
      <c r="R119" s="92" t="s">
        <v>49</v>
      </c>
      <c r="S119" s="92" t="s">
        <v>49</v>
      </c>
      <c r="T119" s="92" t="s">
        <v>49</v>
      </c>
      <c r="U119" s="92" t="s">
        <v>49</v>
      </c>
      <c r="V119" s="92" t="s">
        <v>49</v>
      </c>
      <c r="W119" s="92" t="s">
        <v>49</v>
      </c>
      <c r="X119" s="92" t="s">
        <v>49</v>
      </c>
      <c r="Y119" s="92" t="s">
        <v>49</v>
      </c>
      <c r="Z119" s="92" t="s">
        <v>43</v>
      </c>
      <c r="AA119" s="92" t="s">
        <v>49</v>
      </c>
      <c r="AB119" s="92" t="s">
        <v>49</v>
      </c>
      <c r="AC119" s="16"/>
      <c r="AD119" s="6" t="s">
        <v>50</v>
      </c>
      <c r="AE119" s="93">
        <v>0</v>
      </c>
      <c r="AF119" s="94"/>
    </row>
    <row r="120" ht="19.35" customHeight="1" spans="1:33">
      <c r="A120" s="5">
        <f t="shared" si="2"/>
        <v>117</v>
      </c>
      <c r="B120" s="119" t="s">
        <v>248</v>
      </c>
      <c r="C120" s="5" t="s">
        <v>174</v>
      </c>
      <c r="D120" s="6" t="s">
        <v>105</v>
      </c>
      <c r="E120" s="6" t="s">
        <v>249</v>
      </c>
      <c r="F120" s="6" t="s">
        <v>249</v>
      </c>
      <c r="G120" s="6" t="s">
        <v>67</v>
      </c>
      <c r="H120" s="92"/>
      <c r="I120" s="5"/>
      <c r="J120" s="5"/>
      <c r="K120" s="5"/>
      <c r="L120" s="5"/>
      <c r="M120" s="89" t="str">
        <f t="shared" si="3"/>
        <v>SPIC_JTTG_XXXX_XXXX_03技术管理类_037代码安全检测_V1.0_20260106</v>
      </c>
      <c r="N120" s="98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11" t="s">
        <v>156</v>
      </c>
      <c r="AD120" s="6" t="s">
        <v>48</v>
      </c>
      <c r="AE120" s="93" t="s">
        <v>48</v>
      </c>
      <c r="AF120" s="94"/>
    </row>
    <row r="121" spans="1:33">
      <c r="A121" s="5">
        <f t="shared" si="2"/>
        <v>118</v>
      </c>
      <c r="B121" s="5">
        <v>316</v>
      </c>
      <c r="C121" s="5" t="s">
        <v>108</v>
      </c>
      <c r="D121" s="6" t="s">
        <v>105</v>
      </c>
      <c r="E121" s="6" t="s">
        <v>117</v>
      </c>
      <c r="F121" s="6" t="s">
        <v>250</v>
      </c>
      <c r="G121" s="88" t="s">
        <v>67</v>
      </c>
      <c r="H121" s="92" t="s">
        <v>43</v>
      </c>
      <c r="I121" s="5" t="s">
        <v>49</v>
      </c>
      <c r="J121" s="92" t="s">
        <v>43</v>
      </c>
      <c r="K121" s="5"/>
      <c r="L121" s="5"/>
      <c r="M121" s="89" t="str">
        <f t="shared" si="3"/>
        <v>SPIC_JTTG_XXXX_XXXX_03技术管理类_316配置签字单_V1.0_20260106</v>
      </c>
      <c r="N121" s="98" t="s">
        <v>35</v>
      </c>
      <c r="O121" s="92" t="s">
        <v>43</v>
      </c>
      <c r="P121" s="92" t="s">
        <v>43</v>
      </c>
      <c r="Q121" s="92" t="s">
        <v>43</v>
      </c>
      <c r="R121" s="92" t="s">
        <v>43</v>
      </c>
      <c r="S121" s="92" t="s">
        <v>43</v>
      </c>
      <c r="T121" s="92" t="s">
        <v>43</v>
      </c>
      <c r="U121" s="92" t="s">
        <v>43</v>
      </c>
      <c r="V121" s="92" t="s">
        <v>43</v>
      </c>
      <c r="W121" s="92" t="s">
        <v>43</v>
      </c>
      <c r="X121" s="92" t="s">
        <v>43</v>
      </c>
      <c r="Y121" s="92" t="s">
        <v>43</v>
      </c>
      <c r="Z121" s="92" t="s">
        <v>49</v>
      </c>
      <c r="AA121" s="92" t="s">
        <v>49</v>
      </c>
      <c r="AB121" s="92" t="s">
        <v>49</v>
      </c>
      <c r="AC121" s="16"/>
      <c r="AF121" s="107" t="s">
        <v>78</v>
      </c>
      <c r="AG121" s="26" t="s">
        <v>72</v>
      </c>
    </row>
    <row r="122" spans="1:33">
      <c r="A122" s="5">
        <f t="shared" si="2"/>
        <v>119</v>
      </c>
      <c r="B122" s="5">
        <v>317</v>
      </c>
      <c r="C122" s="6" t="s">
        <v>108</v>
      </c>
      <c r="D122" s="6" t="s">
        <v>69</v>
      </c>
      <c r="E122" s="6" t="s">
        <v>251</v>
      </c>
      <c r="F122" s="6" t="s">
        <v>251</v>
      </c>
      <c r="G122" s="88" t="s">
        <v>52</v>
      </c>
      <c r="H122" s="92" t="s">
        <v>43</v>
      </c>
      <c r="I122" s="92" t="s">
        <v>43</v>
      </c>
      <c r="J122" s="92" t="s">
        <v>43</v>
      </c>
      <c r="K122" s="5"/>
      <c r="L122" s="5"/>
      <c r="M122" s="89" t="str">
        <f t="shared" si="3"/>
        <v>SPIC_JTTG_XXXX_XXXX_02系统实施类_317业态共性单元测试计划及场景_V1.0_20260106</v>
      </c>
      <c r="N122" s="98" t="s">
        <v>35</v>
      </c>
      <c r="O122" s="92" t="s">
        <v>43</v>
      </c>
      <c r="P122" s="92" t="s">
        <v>43</v>
      </c>
      <c r="Q122" s="92" t="s">
        <v>43</v>
      </c>
      <c r="R122" s="92" t="s">
        <v>43</v>
      </c>
      <c r="S122" s="92" t="s">
        <v>43</v>
      </c>
      <c r="T122" s="92" t="s">
        <v>43</v>
      </c>
      <c r="U122" s="92" t="s">
        <v>43</v>
      </c>
      <c r="V122" s="92" t="s">
        <v>43</v>
      </c>
      <c r="W122" s="92" t="s">
        <v>43</v>
      </c>
      <c r="X122" s="92" t="s">
        <v>43</v>
      </c>
      <c r="Y122" s="92" t="s">
        <v>43</v>
      </c>
      <c r="Z122" s="92" t="s">
        <v>49</v>
      </c>
      <c r="AA122" s="92" t="s">
        <v>49</v>
      </c>
      <c r="AB122" s="92" t="s">
        <v>49</v>
      </c>
      <c r="AC122" s="16"/>
      <c r="AF122" s="99" t="s">
        <v>71</v>
      </c>
    </row>
    <row r="123" spans="1:33">
      <c r="A123" s="115">
        <f t="shared" si="2"/>
        <v>120</v>
      </c>
      <c r="B123" s="115">
        <v>318</v>
      </c>
      <c r="C123" s="95" t="s">
        <v>108</v>
      </c>
      <c r="D123" s="95" t="s">
        <v>69</v>
      </c>
      <c r="E123" s="95" t="s">
        <v>252</v>
      </c>
      <c r="F123" s="95" t="s">
        <v>252</v>
      </c>
      <c r="G123" s="116" t="s">
        <v>67</v>
      </c>
      <c r="H123" s="117" t="s">
        <v>43</v>
      </c>
      <c r="I123" s="117" t="s">
        <v>43</v>
      </c>
      <c r="J123" s="117" t="s">
        <v>43</v>
      </c>
      <c r="K123" s="5"/>
      <c r="L123" s="5"/>
      <c r="M123" s="118" t="str">
        <f t="shared" si="3"/>
        <v>SPIC_JTTG_XXXX_XXXX_02系统实施类_318业态共性单元测试报告_V1.0_20260106</v>
      </c>
      <c r="N123" s="98" t="s">
        <v>35</v>
      </c>
      <c r="O123" s="92" t="s">
        <v>43</v>
      </c>
      <c r="P123" s="92" t="s">
        <v>43</v>
      </c>
      <c r="Q123" s="92" t="s">
        <v>43</v>
      </c>
      <c r="R123" s="92" t="s">
        <v>43</v>
      </c>
      <c r="S123" s="92" t="s">
        <v>43</v>
      </c>
      <c r="T123" s="92" t="s">
        <v>43</v>
      </c>
      <c r="U123" s="92" t="s">
        <v>43</v>
      </c>
      <c r="V123" s="92" t="s">
        <v>43</v>
      </c>
      <c r="W123" s="92" t="s">
        <v>43</v>
      </c>
      <c r="X123" s="92" t="s">
        <v>43</v>
      </c>
      <c r="Y123" s="92" t="s">
        <v>43</v>
      </c>
      <c r="Z123" s="92" t="s">
        <v>49</v>
      </c>
      <c r="AA123" s="92" t="s">
        <v>49</v>
      </c>
      <c r="AB123" s="92" t="s">
        <v>49</v>
      </c>
      <c r="AC123" s="16"/>
      <c r="AF123" s="107" t="s">
        <v>78</v>
      </c>
      <c r="AG123" s="26" t="s">
        <v>72</v>
      </c>
    </row>
    <row r="124" spans="1:33">
      <c r="A124" s="5">
        <f t="shared" si="2"/>
        <v>121</v>
      </c>
      <c r="B124" s="5">
        <v>405</v>
      </c>
      <c r="C124" s="6" t="s">
        <v>68</v>
      </c>
      <c r="D124" s="6" t="s">
        <v>69</v>
      </c>
      <c r="E124" s="6" t="s">
        <v>253</v>
      </c>
      <c r="F124" s="6" t="s">
        <v>254</v>
      </c>
      <c r="G124" s="88" t="s">
        <v>52</v>
      </c>
      <c r="H124" s="92" t="s">
        <v>43</v>
      </c>
      <c r="I124" s="92" t="s">
        <v>43</v>
      </c>
      <c r="J124" s="92" t="s">
        <v>43</v>
      </c>
      <c r="K124" s="5"/>
      <c r="L124" s="5"/>
      <c r="M124" s="118" t="str">
        <f>_xlfn.TEXTJOIN("_",1,"SPIC_JTTG_XXXX_XXXX",D124,B124&amp;F124,"V1.0_20260106")</f>
        <v>SPIC_JTTG_XXXX_XXXX_02系统实施类_405需求变更清单_V1.0_20260106</v>
      </c>
      <c r="N124" s="98" t="s">
        <v>35</v>
      </c>
      <c r="O124" s="92" t="s">
        <v>43</v>
      </c>
      <c r="P124" s="92" t="s">
        <v>43</v>
      </c>
      <c r="Q124" s="92" t="s">
        <v>43</v>
      </c>
      <c r="R124" s="92" t="s">
        <v>43</v>
      </c>
      <c r="S124" s="92" t="s">
        <v>43</v>
      </c>
      <c r="T124" s="92" t="s">
        <v>43</v>
      </c>
      <c r="U124" s="92" t="s">
        <v>43</v>
      </c>
      <c r="V124" s="92" t="s">
        <v>43</v>
      </c>
      <c r="W124" s="92" t="s">
        <v>43</v>
      </c>
      <c r="X124" s="92" t="s">
        <v>43</v>
      </c>
      <c r="Y124" s="92" t="s">
        <v>43</v>
      </c>
      <c r="Z124" s="92" t="s">
        <v>43</v>
      </c>
      <c r="AA124" s="92" t="s">
        <v>43</v>
      </c>
      <c r="AB124" s="92" t="s">
        <v>43</v>
      </c>
      <c r="AC124" s="16"/>
      <c r="AF124" s="105"/>
    </row>
    <row r="125" spans="1:33">
      <c r="A125" s="115">
        <f>ROW()-3</f>
        <v>122</v>
      </c>
      <c r="B125" s="115">
        <v>492</v>
      </c>
      <c r="C125" s="6" t="s">
        <v>108</v>
      </c>
      <c r="D125" s="6" t="s">
        <v>69</v>
      </c>
      <c r="E125" s="95" t="s">
        <v>255</v>
      </c>
      <c r="F125" s="95" t="s">
        <v>256</v>
      </c>
      <c r="G125" s="116" t="s">
        <v>67</v>
      </c>
      <c r="H125" s="117" t="s">
        <v>43</v>
      </c>
      <c r="I125" s="117" t="s">
        <v>43</v>
      </c>
      <c r="J125" s="117" t="s">
        <v>43</v>
      </c>
      <c r="M125" s="118" t="str">
        <f>_xlfn.TEXTJOIN("_",1,"SPIC_JTTG_XXXX_XXXX",D125,B125&amp;F125,"V1.0_20260630")</f>
        <v>SPIC_JTTG_XXXX_XXXX_02系统实施类_492回归测试报告_V1.0_20260630</v>
      </c>
      <c r="N125" s="98" t="s">
        <v>35</v>
      </c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AB125" s="92" t="s">
        <v>43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AG125" etc:filterBottomFollowUsedRange="1">
    <extLst/>
  </autoFilter>
  <sortState ref="A4:AB119">
    <sortCondition ref="B4"/>
  </sortState>
  <mergeCells count="13">
    <mergeCell ref="O1:AB1"/>
    <mergeCell ref="O2:V2"/>
    <mergeCell ref="W2:Y2"/>
    <mergeCell ref="Z2:AB2"/>
    <mergeCell ref="E6:E7"/>
    <mergeCell ref="E9:E10"/>
    <mergeCell ref="E11:E12"/>
    <mergeCell ref="E13:E14"/>
    <mergeCell ref="M1:M2"/>
    <mergeCell ref="AC1:AC2"/>
    <mergeCell ref="H1:J2"/>
    <mergeCell ref="A1:G2"/>
    <mergeCell ref="K1:L2"/>
  </mergeCells>
  <conditionalFormatting sqref="F$1:F$1048576">
    <cfRule type="duplicateValues" dxfId="0" priority="1"/>
  </conditionalFormatting>
  <dataValidations count="8">
    <dataValidation allowBlank="1" sqref="N1" errorStyle="information"/>
    <dataValidation allowBlank="1" showErrorMessage="1" sqref="O1:Y1 B3:M3 M125 M4:M122 M123:M124 H1:M2 O2:AB3" errorStyle="information"/>
    <dataValidation type="list" allowBlank="1" showErrorMessage="1" errorTitle="错误提示" error="请输入下拉列表中的值" id="{e4cffe19-c437-48c2-a9db-0ae695220e61}" sqref="Z1:AB1 O125 P125 Q125 R125 S125 T125 U125 V125 W125 X125 Y125 AB125 O4:AB119 O121:AB124" errorStyle="information">
      <formula1>"√,×"</formula1>
    </dataValidation>
    <dataValidation type="list" allowBlank="1" showErrorMessage="1" errorTitle="错误提示" error="请输入下拉列表中的值" id="{38674a27-23f2-42e1-9dda-6e0ec110dd38}" sqref="C125 C1:C2 C4:C124 C126:C1048576" errorStyle="information">
      <formula1>"01项目准备,02蓝图及详细方案迭代,03系统实现,04上线准备及切换,05上线试运行支持,06项目验收,00项目管理"</formula1>
    </dataValidation>
    <dataValidation type="list" allowBlank="1" showErrorMessage="1" errorTitle="错误提示" error="请输入下拉列表中的值" id="{daac0c8a-2188-43af-8f2e-56ee0c8ea482}" sqref="D125 D4:D124 D1:E2 D126:E1048576" errorStyle="information">
      <formula1>"01项目管理类,02系统实施类,03技术管理类,04数据管理类,05人员培训类"</formula1>
    </dataValidation>
    <dataValidation type="list" allowBlank="1" showErrorMessage="1" errorTitle="错误提示" error="请输入下拉列表中的值" id="{b056a4cc-81d3-464b-8729-cdceb74be2bf}" sqref="G125 G1:G2 G4:G124" errorStyle="information">
      <formula1>"PPT,Excel,Word,Mp4,Visio"</formula1>
    </dataValidation>
    <dataValidation type="list" allowBlank="1" showErrorMessage="1" errorTitle="错误提示" error="请输入下拉列表中的值" id="{826ce26f-e584-4ff5-b23d-3cc5ab812985}" sqref="H125:J125 H119:H120 H4:J118 H121:J124" errorStyle="information">
      <formula1>"√,×"</formula1>
    </dataValidation>
    <dataValidation type="list" allowBlank="1" showErrorMessage="1" errorTitle="错误提示" error="请输入下拉列表中的值" id="{20c2ff73-5bcd-4b00-9718-daba23095239}" sqref="K46:L118 K4:L44" errorStyle="information">
      <formula1>"√,×,不涉及"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4"/>
  <sheetViews>
    <sheetView topLeftCell="AA3" workbookViewId="0">
      <selection activeCell="AA3" sqref="AA3"/>
    </sheetView>
  </sheetViews>
  <sheetFormatPr defaultColWidth="9" defaultRowHeight="45.15" customHeight="1"/>
  <cols>
    <col min="1" max="1" width="14.2666666666667" style="49" customWidth="1"/>
    <col min="2" max="2" width="16.25" style="49" customWidth="1"/>
    <col min="3" max="3" width="67.375" style="49" customWidth="1"/>
    <col min="4" max="4" width="5.25833333333333" style="49" customWidth="1"/>
    <col min="5" max="5" width="19.1" style="50" customWidth="1"/>
    <col min="6" max="6" width="62.25" style="51" customWidth="1"/>
    <col min="7" max="9" width="9" style="49"/>
    <col min="10" max="10" width="36.6583333333333" style="49" customWidth="1"/>
    <col min="11" max="11" width="22.4666666666667" style="49" customWidth="1"/>
    <col min="12" max="16384" width="9" style="49"/>
  </cols>
  <sheetData>
    <row r="1" ht="24" customHeight="1" spans="2:11">
      <c r="B1" s="23" t="s">
        <v>11</v>
      </c>
      <c r="C1" s="23" t="s">
        <v>257</v>
      </c>
      <c r="D1" s="52"/>
      <c r="E1" s="23" t="s">
        <v>14</v>
      </c>
      <c r="F1" s="23" t="s">
        <v>257</v>
      </c>
      <c r="H1" s="23" t="s">
        <v>2</v>
      </c>
      <c r="I1" s="23"/>
      <c r="J1" s="53" t="s">
        <v>257</v>
      </c>
      <c r="K1" s="54"/>
    </row>
    <row r="2" customHeight="1" spans="2:11">
      <c r="B2" s="24" t="s">
        <v>258</v>
      </c>
      <c r="C2" s="55" t="s">
        <v>259</v>
      </c>
      <c r="D2" s="56"/>
      <c r="E2" s="57" t="s">
        <v>40</v>
      </c>
      <c r="F2" s="7" t="s">
        <v>260</v>
      </c>
      <c r="H2" s="57" t="s">
        <v>261</v>
      </c>
      <c r="I2" s="11" t="s">
        <v>262</v>
      </c>
      <c r="J2" s="55" t="s">
        <v>263</v>
      </c>
      <c r="K2" s="10" t="s">
        <v>264</v>
      </c>
    </row>
    <row r="3" customHeight="1" spans="2:11">
      <c r="B3" s="24" t="s">
        <v>265</v>
      </c>
      <c r="C3" s="55" t="s">
        <v>266</v>
      </c>
      <c r="D3" s="56"/>
      <c r="E3" s="57" t="s">
        <v>69</v>
      </c>
      <c r="F3" s="7" t="s">
        <v>267</v>
      </c>
      <c r="H3" s="57"/>
      <c r="I3" s="11" t="s">
        <v>268</v>
      </c>
      <c r="J3" s="55" t="s">
        <v>269</v>
      </c>
      <c r="K3" s="58"/>
    </row>
    <row r="4" customHeight="1" spans="2:11">
      <c r="B4" s="24" t="s">
        <v>270</v>
      </c>
      <c r="C4" s="55" t="s">
        <v>271</v>
      </c>
      <c r="D4" s="56"/>
      <c r="E4" s="57" t="s">
        <v>105</v>
      </c>
      <c r="F4" s="7" t="s">
        <v>272</v>
      </c>
      <c r="H4" s="57" t="s">
        <v>19</v>
      </c>
      <c r="I4" s="57"/>
      <c r="J4" s="55" t="s">
        <v>273</v>
      </c>
      <c r="K4" s="58"/>
    </row>
    <row r="5" customHeight="1" spans="2:11">
      <c r="B5" s="24" t="s">
        <v>274</v>
      </c>
      <c r="C5" s="55" t="s">
        <v>275</v>
      </c>
      <c r="D5" s="56"/>
      <c r="E5" s="57" t="s">
        <v>99</v>
      </c>
      <c r="F5" s="8" t="s">
        <v>276</v>
      </c>
    </row>
    <row r="6" customHeight="1" spans="2:11">
      <c r="B6" s="24" t="s">
        <v>277</v>
      </c>
      <c r="C6" s="55" t="s">
        <v>278</v>
      </c>
      <c r="D6" s="56"/>
      <c r="E6" s="57" t="s">
        <v>58</v>
      </c>
      <c r="F6" s="8" t="s">
        <v>279</v>
      </c>
    </row>
    <row r="7" customHeight="1" spans="2:11">
      <c r="B7" s="24" t="s">
        <v>280</v>
      </c>
      <c r="C7" s="11" t="s">
        <v>281</v>
      </c>
      <c r="D7" s="56"/>
    </row>
    <row r="8" customHeight="1" spans="2:11">
      <c r="B8" s="59" t="s">
        <v>282</v>
      </c>
      <c r="C8" s="55" t="s">
        <v>283</v>
      </c>
      <c r="D8" s="56"/>
    </row>
    <row r="10" ht="15" spans="2:11">
      <c r="B10" s="23" t="s">
        <v>284</v>
      </c>
      <c r="C10" s="60"/>
      <c r="D10" s="56"/>
      <c r="E10" s="61"/>
    </row>
    <row r="11" ht="40.5" spans="2:11">
      <c r="B11" s="23" t="s">
        <v>285</v>
      </c>
      <c r="C11" s="55" t="s">
        <v>286</v>
      </c>
      <c r="D11" s="56"/>
      <c r="E11" s="61"/>
    </row>
    <row r="12" ht="15" spans="2:11">
      <c r="B12" s="23" t="s">
        <v>287</v>
      </c>
      <c r="C12" s="55" t="s">
        <v>288</v>
      </c>
      <c r="D12" s="56"/>
      <c r="E12" s="61"/>
    </row>
    <row r="13" customHeight="1" spans="2:11">
      <c r="B13" s="23" t="s">
        <v>289</v>
      </c>
      <c r="C13" s="55"/>
    </row>
    <row r="14" customHeight="1" spans="2:11">
      <c r="B14" s="56"/>
    </row>
    <row r="15" customHeight="1" spans="2:11">
      <c r="B15" s="62"/>
    </row>
    <row r="16" customHeight="1" spans="2:11">
      <c r="B16" s="62"/>
    </row>
    <row r="17" customHeight="1" spans="2:3">
      <c r="B17" s="62"/>
      <c r="C17" s="56"/>
    </row>
    <row r="18" customHeight="1" spans="2:3">
      <c r="B18" s="62"/>
      <c r="C18" s="56"/>
    </row>
    <row r="19" customHeight="1" spans="2:3">
      <c r="B19" s="62"/>
    </row>
    <row r="20" customHeight="1" spans="2:3">
      <c r="B20" s="62"/>
    </row>
    <row r="21" customHeight="1" spans="2:3">
      <c r="B21" s="62"/>
    </row>
    <row r="22" customHeight="1" spans="2:3">
      <c r="B22" s="62"/>
    </row>
    <row r="23" customHeight="1" spans="2:3">
      <c r="B23" s="62"/>
    </row>
    <row r="24" customHeight="1" spans="2:3">
      <c r="B24" s="62"/>
    </row>
    <row r="25" customHeight="1" spans="2:3">
      <c r="B25" s="62"/>
    </row>
    <row r="26" customHeight="1" spans="2:3">
      <c r="B26" s="62"/>
    </row>
    <row r="27" customHeight="1" spans="2:3">
      <c r="B27" s="62"/>
    </row>
    <row r="28" customHeight="1" spans="2:3">
      <c r="B28" s="62"/>
    </row>
    <row r="29" customHeight="1" spans="2:3">
      <c r="B29" s="62"/>
    </row>
    <row r="30" customHeight="1" spans="2:3">
      <c r="B30" s="62"/>
    </row>
    <row r="31" customHeight="1" spans="2:3">
      <c r="B31" s="62"/>
    </row>
    <row r="32" customHeight="1" spans="2:3">
      <c r="B32" s="62"/>
    </row>
    <row r="33" customHeight="1" spans="2:2">
      <c r="B33" s="62"/>
    </row>
    <row r="34" customHeight="1" spans="2:2">
      <c r="B34" s="62"/>
    </row>
  </sheetData>
  <sheetProtection formatCells="0" formatColumns="0" formatRows="0" insertRows="0" insertColumns="0" insertHyperlinks="0" deleteColumns="0" deleteRows="0" sort="0" autoFilter="0" pivotTables="0"/>
  <mergeCells count="5">
    <mergeCell ref="H1:I1"/>
    <mergeCell ref="J1:K1"/>
    <mergeCell ref="H4:I4"/>
    <mergeCell ref="H2:H3"/>
    <mergeCell ref="K2:K4"/>
  </mergeCells>
  <dataValidations count="1">
    <dataValidation allowBlank="1" showErrorMessage="1" sqref="B2:B7 E1:E6 E8:E1048576" errorStyle="information"/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workbookViewId="0">
      <pane xSplit="7" ySplit="2" topLeftCell="J48" activePane="bottomRight" state="frozen"/>
      <selection/>
      <selection pane="topRight"/>
      <selection pane="bottomLeft"/>
      <selection pane="bottomRight" activeCell="Q57" sqref="Q57"/>
    </sheetView>
  </sheetViews>
  <sheetFormatPr defaultColWidth="8.725" defaultRowHeight="13.5"/>
  <cols>
    <col min="1" max="1" width="4.45833333333333" style="1" customWidth="1"/>
    <col min="2" max="2" width="8.81666666666667" style="1" customWidth="1"/>
    <col min="3" max="3" width="10.3666666666667" style="1" customWidth="1"/>
    <col min="4" max="4" width="7.36666666666667" style="1" customWidth="1"/>
    <col min="5" max="5" width="8" style="1" customWidth="1"/>
    <col min="6" max="6" width="7.36666666666667" style="1" customWidth="1"/>
    <col min="7" max="7" width="21.8166666666667" style="1" customWidth="1"/>
    <col min="8" max="8" width="13.6333333333333" style="1" customWidth="1"/>
    <col min="9" max="9" width="21.875" style="1" customWidth="1"/>
    <col min="10" max="10" width="11.1833333333333" style="1" customWidth="1"/>
    <col min="11" max="11" width="8.25" style="1" customWidth="1"/>
    <col min="12" max="12" width="5.90833333333333" style="1" customWidth="1"/>
    <col min="13" max="13" width="12.5" style="1" customWidth="1"/>
    <col min="14" max="14" width="7.36666666666667" style="1" customWidth="1"/>
    <col min="15" max="15" width="16.9083333333333" style="1" customWidth="1"/>
    <col min="16" max="16384" width="8.725" style="3"/>
  </cols>
  <sheetData>
    <row r="1" spans="1:16">
      <c r="B1" s="28" t="s">
        <v>290</v>
      </c>
    </row>
    <row r="2" s="1" customFormat="1" ht="29" customHeight="1" spans="1:16">
      <c r="A2" s="29" t="s">
        <v>9</v>
      </c>
      <c r="B2" s="29" t="s">
        <v>291</v>
      </c>
      <c r="C2" s="29" t="s">
        <v>284</v>
      </c>
      <c r="D2" s="30" t="s">
        <v>11</v>
      </c>
      <c r="E2" s="30" t="s">
        <v>292</v>
      </c>
      <c r="F2" s="30" t="s">
        <v>12</v>
      </c>
      <c r="G2" s="31" t="s">
        <v>0</v>
      </c>
      <c r="H2" s="31" t="s">
        <v>14</v>
      </c>
      <c r="I2" s="31" t="s">
        <v>4</v>
      </c>
      <c r="J2" s="31" t="s">
        <v>293</v>
      </c>
      <c r="K2" s="30" t="s">
        <v>294</v>
      </c>
      <c r="L2" s="30" t="s">
        <v>295</v>
      </c>
      <c r="M2" s="30" t="s">
        <v>296</v>
      </c>
      <c r="N2" s="29" t="s">
        <v>297</v>
      </c>
      <c r="O2" s="29" t="s">
        <v>5</v>
      </c>
      <c r="P2" s="28" t="s">
        <v>298</v>
      </c>
    </row>
    <row r="3" spans="1:16">
      <c r="A3" s="32">
        <v>1</v>
      </c>
      <c r="B3" s="32"/>
      <c r="C3" s="32"/>
      <c r="D3" s="32" t="s">
        <v>299</v>
      </c>
      <c r="E3" s="32" t="s">
        <v>300</v>
      </c>
      <c r="F3" s="32" t="s">
        <v>301</v>
      </c>
      <c r="G3" s="32" t="s">
        <v>191</v>
      </c>
      <c r="H3" s="32" t="s">
        <v>42</v>
      </c>
      <c r="I3" s="32"/>
      <c r="J3" s="32"/>
      <c r="K3" s="32" t="s">
        <v>302</v>
      </c>
      <c r="L3" s="32"/>
      <c r="M3" s="32"/>
      <c r="N3" s="32" t="s">
        <v>303</v>
      </c>
      <c r="O3" s="32"/>
    </row>
    <row r="4" spans="1:16">
      <c r="A4" s="32">
        <v>2</v>
      </c>
      <c r="B4" s="32"/>
      <c r="C4" s="32"/>
      <c r="D4" s="32" t="s">
        <v>299</v>
      </c>
      <c r="E4" s="32" t="s">
        <v>300</v>
      </c>
      <c r="F4" s="32" t="s">
        <v>301</v>
      </c>
      <c r="G4" s="32" t="s">
        <v>193</v>
      </c>
      <c r="H4" s="32" t="s">
        <v>42</v>
      </c>
      <c r="I4" s="32"/>
      <c r="J4" s="32"/>
      <c r="K4" s="32" t="s">
        <v>302</v>
      </c>
      <c r="L4" s="32"/>
      <c r="M4" s="32"/>
      <c r="N4" s="32" t="s">
        <v>303</v>
      </c>
      <c r="O4" s="32"/>
    </row>
    <row r="5" spans="1:16">
      <c r="A5" s="32">
        <v>3</v>
      </c>
      <c r="B5" s="32"/>
      <c r="C5" s="32"/>
      <c r="D5" s="32" t="s">
        <v>299</v>
      </c>
      <c r="E5" s="32" t="s">
        <v>300</v>
      </c>
      <c r="F5" s="32" t="s">
        <v>301</v>
      </c>
      <c r="G5" s="32" t="s">
        <v>304</v>
      </c>
      <c r="H5" s="32" t="s">
        <v>42</v>
      </c>
      <c r="I5" s="32"/>
      <c r="J5" s="32"/>
      <c r="K5" s="32" t="s">
        <v>302</v>
      </c>
      <c r="L5" s="32"/>
      <c r="M5" s="32"/>
      <c r="N5" s="32" t="s">
        <v>303</v>
      </c>
      <c r="O5" s="32"/>
    </row>
    <row r="6" spans="1:16">
      <c r="A6" s="32">
        <v>4</v>
      </c>
      <c r="B6" s="32"/>
      <c r="C6" s="32"/>
      <c r="D6" s="32" t="s">
        <v>299</v>
      </c>
      <c r="E6" s="32" t="s">
        <v>300</v>
      </c>
      <c r="F6" s="32" t="s">
        <v>301</v>
      </c>
      <c r="G6" s="32" t="s">
        <v>305</v>
      </c>
      <c r="H6" s="32" t="s">
        <v>42</v>
      </c>
      <c r="I6" s="32"/>
      <c r="J6" s="32"/>
      <c r="K6" s="32" t="s">
        <v>302</v>
      </c>
      <c r="L6" s="32"/>
      <c r="M6" s="32"/>
      <c r="N6" s="32" t="s">
        <v>303</v>
      </c>
      <c r="O6" s="32"/>
    </row>
    <row r="7" spans="1:16">
      <c r="A7" s="32">
        <v>5</v>
      </c>
      <c r="B7" s="32"/>
      <c r="C7" s="32"/>
      <c r="D7" s="32" t="s">
        <v>299</v>
      </c>
      <c r="E7" s="32" t="s">
        <v>300</v>
      </c>
      <c r="F7" s="33" t="s">
        <v>306</v>
      </c>
      <c r="G7" s="32" t="s">
        <v>307</v>
      </c>
      <c r="H7" s="33" t="s">
        <v>67</v>
      </c>
      <c r="I7" s="32"/>
      <c r="J7" s="32"/>
      <c r="K7" s="32" t="s">
        <v>302</v>
      </c>
      <c r="L7" s="32" t="s">
        <v>308</v>
      </c>
      <c r="M7" s="32"/>
      <c r="N7" s="32" t="s">
        <v>303</v>
      </c>
      <c r="O7" s="32"/>
    </row>
    <row r="8" spans="1:16">
      <c r="A8" s="32">
        <v>6</v>
      </c>
      <c r="B8" s="32"/>
      <c r="C8" s="32"/>
      <c r="D8" s="32" t="s">
        <v>299</v>
      </c>
      <c r="E8" s="32" t="s">
        <v>309</v>
      </c>
      <c r="F8" s="32" t="s">
        <v>310</v>
      </c>
      <c r="G8" s="32" t="s">
        <v>197</v>
      </c>
      <c r="H8" s="33" t="s">
        <v>67</v>
      </c>
      <c r="I8" s="32"/>
      <c r="J8" s="32"/>
      <c r="K8" s="32"/>
      <c r="L8" s="32"/>
      <c r="M8" s="32"/>
      <c r="N8" s="32" t="s">
        <v>311</v>
      </c>
      <c r="O8" s="32"/>
    </row>
    <row r="9" spans="1:16">
      <c r="A9" s="32">
        <v>7</v>
      </c>
      <c r="B9" s="32"/>
      <c r="C9" s="32"/>
      <c r="D9" s="32" t="s">
        <v>299</v>
      </c>
      <c r="E9" s="32" t="s">
        <v>309</v>
      </c>
      <c r="F9" s="32" t="s">
        <v>310</v>
      </c>
      <c r="G9" s="32" t="s">
        <v>199</v>
      </c>
      <c r="H9" s="33" t="s">
        <v>67</v>
      </c>
      <c r="I9" s="32"/>
      <c r="J9" s="32"/>
      <c r="K9" s="32"/>
      <c r="L9" s="32"/>
      <c r="M9" s="32"/>
      <c r="N9" s="32" t="s">
        <v>311</v>
      </c>
      <c r="O9" s="32"/>
    </row>
    <row r="10" spans="1:16">
      <c r="A10" s="32">
        <v>8</v>
      </c>
      <c r="B10" s="32"/>
      <c r="C10" s="32"/>
      <c r="D10" s="32" t="s">
        <v>299</v>
      </c>
      <c r="E10" s="32" t="s">
        <v>309</v>
      </c>
      <c r="F10" s="32" t="s">
        <v>310</v>
      </c>
      <c r="G10" s="32" t="s">
        <v>312</v>
      </c>
      <c r="H10" s="33" t="s">
        <v>67</v>
      </c>
      <c r="I10" s="32"/>
      <c r="J10" s="32"/>
      <c r="K10" s="32"/>
      <c r="L10" s="32"/>
      <c r="M10" s="32"/>
      <c r="N10" s="32" t="s">
        <v>311</v>
      </c>
      <c r="O10" s="32"/>
    </row>
    <row r="11" spans="1:16">
      <c r="A11" s="32">
        <v>9</v>
      </c>
      <c r="B11" s="32"/>
      <c r="C11" s="32"/>
      <c r="D11" s="32" t="s">
        <v>299</v>
      </c>
      <c r="E11" s="32" t="s">
        <v>309</v>
      </c>
      <c r="F11" s="32" t="s">
        <v>310</v>
      </c>
      <c r="G11" s="32" t="s">
        <v>313</v>
      </c>
      <c r="H11" s="33" t="s">
        <v>67</v>
      </c>
      <c r="I11" s="32"/>
      <c r="J11" s="32"/>
      <c r="K11" s="32"/>
      <c r="L11" s="32"/>
      <c r="M11" s="32"/>
      <c r="N11" s="32" t="s">
        <v>311</v>
      </c>
      <c r="O11" s="32"/>
    </row>
    <row r="12" spans="1:16">
      <c r="A12" s="32">
        <v>10</v>
      </c>
      <c r="B12" s="32"/>
      <c r="C12" s="32"/>
      <c r="D12" s="32" t="s">
        <v>299</v>
      </c>
      <c r="E12" s="32" t="s">
        <v>309</v>
      </c>
      <c r="F12" s="32" t="s">
        <v>310</v>
      </c>
      <c r="G12" s="32" t="s">
        <v>314</v>
      </c>
      <c r="H12" s="33" t="s">
        <v>315</v>
      </c>
      <c r="I12" s="32"/>
      <c r="J12" s="32"/>
      <c r="K12" s="32"/>
      <c r="L12" s="32"/>
      <c r="M12" s="32"/>
      <c r="N12" s="32" t="s">
        <v>311</v>
      </c>
      <c r="O12" s="32"/>
    </row>
    <row r="13" s="27" customFormat="1" spans="1:16">
      <c r="A13" s="34">
        <v>11</v>
      </c>
      <c r="B13" s="34"/>
      <c r="C13" s="34"/>
      <c r="D13" s="34" t="s">
        <v>299</v>
      </c>
      <c r="E13" s="34" t="s">
        <v>309</v>
      </c>
      <c r="F13" s="34" t="s">
        <v>310</v>
      </c>
      <c r="G13" s="34" t="s">
        <v>316</v>
      </c>
      <c r="H13" s="34" t="s">
        <v>317</v>
      </c>
      <c r="I13" s="34"/>
      <c r="J13" s="34"/>
      <c r="K13" s="34"/>
      <c r="L13" s="34"/>
      <c r="M13" s="34"/>
      <c r="N13" s="34" t="s">
        <v>311</v>
      </c>
      <c r="O13" s="34"/>
    </row>
    <row r="14" spans="1:16">
      <c r="A14" s="32">
        <v>12</v>
      </c>
      <c r="B14" s="32"/>
      <c r="C14" s="32"/>
      <c r="D14" s="32" t="s">
        <v>299</v>
      </c>
      <c r="E14" s="32" t="s">
        <v>309</v>
      </c>
      <c r="F14" s="32" t="s">
        <v>310</v>
      </c>
      <c r="G14" s="32" t="s">
        <v>203</v>
      </c>
      <c r="H14" s="33" t="s">
        <v>67</v>
      </c>
      <c r="I14" s="32"/>
      <c r="J14" s="32"/>
      <c r="K14" s="32"/>
      <c r="L14" s="32"/>
      <c r="M14" s="32"/>
      <c r="N14" s="32" t="s">
        <v>311</v>
      </c>
      <c r="O14" s="32"/>
    </row>
    <row r="15" spans="1:16">
      <c r="A15" s="32">
        <v>13</v>
      </c>
      <c r="B15" s="32"/>
      <c r="C15" s="32"/>
      <c r="D15" s="32" t="s">
        <v>299</v>
      </c>
      <c r="E15" s="32" t="s">
        <v>309</v>
      </c>
      <c r="F15" s="32" t="s">
        <v>310</v>
      </c>
      <c r="G15" s="32" t="s">
        <v>205</v>
      </c>
      <c r="H15" s="33" t="s">
        <v>67</v>
      </c>
      <c r="I15" s="32"/>
      <c r="J15" s="32"/>
      <c r="K15" s="32"/>
      <c r="L15" s="32"/>
      <c r="M15" s="32"/>
      <c r="N15" s="32" t="s">
        <v>311</v>
      </c>
      <c r="O15" s="32"/>
    </row>
    <row r="16" spans="1:16">
      <c r="A16" s="32">
        <v>14</v>
      </c>
      <c r="B16" s="32"/>
      <c r="C16" s="32"/>
      <c r="D16" s="32" t="s">
        <v>299</v>
      </c>
      <c r="E16" s="32" t="s">
        <v>309</v>
      </c>
      <c r="F16" s="32" t="s">
        <v>310</v>
      </c>
      <c r="G16" s="32" t="s">
        <v>318</v>
      </c>
      <c r="H16" s="33" t="s">
        <v>67</v>
      </c>
      <c r="I16" s="32"/>
      <c r="J16" s="32"/>
      <c r="K16" s="32"/>
      <c r="L16" s="32"/>
      <c r="M16" s="32"/>
      <c r="N16" s="32" t="s">
        <v>311</v>
      </c>
      <c r="O16" s="32"/>
    </row>
    <row r="17" spans="1:15">
      <c r="A17" s="32">
        <v>15</v>
      </c>
      <c r="B17" s="32"/>
      <c r="C17" s="32"/>
      <c r="D17" s="32" t="s">
        <v>299</v>
      </c>
      <c r="E17" s="32" t="s">
        <v>309</v>
      </c>
      <c r="F17" s="32" t="s">
        <v>310</v>
      </c>
      <c r="G17" s="32" t="s">
        <v>209</v>
      </c>
      <c r="H17" s="33" t="s">
        <v>67</v>
      </c>
      <c r="I17" s="32"/>
      <c r="J17" s="32"/>
      <c r="K17" s="32"/>
      <c r="L17" s="32"/>
      <c r="M17" s="32"/>
      <c r="N17" s="32" t="s">
        <v>311</v>
      </c>
      <c r="O17" s="32"/>
    </row>
    <row r="18" spans="1:15">
      <c r="A18" s="32">
        <v>16</v>
      </c>
      <c r="B18" s="32"/>
      <c r="C18" s="32"/>
      <c r="D18" s="32" t="s">
        <v>299</v>
      </c>
      <c r="E18" s="32" t="s">
        <v>309</v>
      </c>
      <c r="F18" s="32" t="s">
        <v>310</v>
      </c>
      <c r="G18" s="32" t="s">
        <v>211</v>
      </c>
      <c r="H18" s="33" t="s">
        <v>67</v>
      </c>
      <c r="I18" s="32"/>
      <c r="J18" s="32"/>
      <c r="K18" s="32"/>
      <c r="L18" s="32"/>
      <c r="M18" s="32"/>
      <c r="N18" s="32" t="s">
        <v>311</v>
      </c>
      <c r="O18" s="32"/>
    </row>
    <row r="19" spans="1:15">
      <c r="A19" s="32">
        <v>17</v>
      </c>
      <c r="B19" s="32"/>
      <c r="C19" s="32"/>
      <c r="D19" s="32" t="s">
        <v>299</v>
      </c>
      <c r="E19" s="32" t="s">
        <v>309</v>
      </c>
      <c r="F19" s="32" t="s">
        <v>310</v>
      </c>
      <c r="G19" s="32" t="s">
        <v>213</v>
      </c>
      <c r="H19" s="33" t="s">
        <v>67</v>
      </c>
      <c r="I19" s="32"/>
      <c r="J19" s="32"/>
      <c r="K19" s="32"/>
      <c r="L19" s="32"/>
      <c r="M19" s="32"/>
      <c r="N19" s="32" t="s">
        <v>311</v>
      </c>
      <c r="O19" s="32"/>
    </row>
    <row r="20" spans="1:15">
      <c r="A20" s="32">
        <v>18</v>
      </c>
      <c r="B20" s="32"/>
      <c r="C20" s="32"/>
      <c r="D20" s="32" t="s">
        <v>299</v>
      </c>
      <c r="E20" s="32" t="s">
        <v>309</v>
      </c>
      <c r="F20" s="32" t="s">
        <v>310</v>
      </c>
      <c r="G20" s="32" t="s">
        <v>215</v>
      </c>
      <c r="H20" s="33" t="s">
        <v>67</v>
      </c>
      <c r="I20" s="32"/>
      <c r="J20" s="32"/>
      <c r="K20" s="32"/>
      <c r="L20" s="32"/>
      <c r="M20" s="32"/>
      <c r="N20" s="32" t="s">
        <v>311</v>
      </c>
      <c r="O20" s="32"/>
    </row>
    <row r="21" spans="1:15">
      <c r="A21" s="32">
        <v>19</v>
      </c>
      <c r="B21" s="32"/>
      <c r="C21" s="32"/>
      <c r="D21" s="32" t="s">
        <v>299</v>
      </c>
      <c r="E21" s="32" t="s">
        <v>309</v>
      </c>
      <c r="F21" s="32" t="s">
        <v>310</v>
      </c>
      <c r="G21" s="32" t="s">
        <v>217</v>
      </c>
      <c r="H21" s="33" t="s">
        <v>67</v>
      </c>
      <c r="I21" s="32"/>
      <c r="J21" s="32"/>
      <c r="K21" s="32"/>
      <c r="L21" s="32"/>
      <c r="M21" s="32"/>
      <c r="N21" s="32" t="s">
        <v>311</v>
      </c>
      <c r="O21" s="32"/>
    </row>
    <row r="22" spans="1:15">
      <c r="A22" s="32">
        <v>20</v>
      </c>
      <c r="B22" s="32"/>
      <c r="C22" s="32"/>
      <c r="D22" s="32" t="s">
        <v>299</v>
      </c>
      <c r="E22" s="32" t="s">
        <v>309</v>
      </c>
      <c r="F22" s="32" t="s">
        <v>310</v>
      </c>
      <c r="G22" s="32" t="s">
        <v>219</v>
      </c>
      <c r="H22" s="33" t="s">
        <v>67</v>
      </c>
      <c r="I22" s="32"/>
      <c r="J22" s="32"/>
      <c r="K22" s="32"/>
      <c r="L22" s="32"/>
      <c r="M22" s="32"/>
      <c r="N22" s="32" t="s">
        <v>311</v>
      </c>
      <c r="O22" s="32"/>
    </row>
    <row r="23" spans="1:15">
      <c r="A23" s="32">
        <v>21</v>
      </c>
      <c r="B23" s="32"/>
      <c r="C23" s="32"/>
      <c r="D23" s="32" t="s">
        <v>299</v>
      </c>
      <c r="E23" s="32" t="s">
        <v>309</v>
      </c>
      <c r="F23" s="32" t="s">
        <v>310</v>
      </c>
      <c r="G23" s="32" t="s">
        <v>221</v>
      </c>
      <c r="H23" s="33" t="s">
        <v>67</v>
      </c>
      <c r="I23" s="32"/>
      <c r="J23" s="32"/>
      <c r="K23" s="32"/>
      <c r="L23" s="32"/>
      <c r="M23" s="32"/>
      <c r="N23" s="32" t="s">
        <v>311</v>
      </c>
      <c r="O23" s="32"/>
    </row>
    <row r="24" spans="1:15">
      <c r="A24" s="32">
        <v>22</v>
      </c>
      <c r="B24" s="32"/>
      <c r="C24" s="32"/>
      <c r="D24" s="32" t="s">
        <v>299</v>
      </c>
      <c r="E24" s="32" t="s">
        <v>319</v>
      </c>
      <c r="F24" s="32" t="s">
        <v>320</v>
      </c>
      <c r="G24" s="32" t="s">
        <v>47</v>
      </c>
      <c r="H24" s="33" t="s">
        <v>52</v>
      </c>
      <c r="I24" s="32"/>
      <c r="J24" s="32"/>
      <c r="K24" s="32"/>
      <c r="L24" s="32"/>
      <c r="M24" s="32"/>
      <c r="N24" s="32" t="s">
        <v>311</v>
      </c>
      <c r="O24" s="32"/>
    </row>
    <row r="25" spans="1:15">
      <c r="A25" s="32">
        <v>23</v>
      </c>
      <c r="B25" s="32"/>
      <c r="C25" s="32"/>
      <c r="D25" s="32" t="s">
        <v>299</v>
      </c>
      <c r="E25" s="32" t="s">
        <v>319</v>
      </c>
      <c r="F25" s="32" t="s">
        <v>320</v>
      </c>
      <c r="G25" s="32" t="s">
        <v>321</v>
      </c>
      <c r="H25" s="33" t="s">
        <v>56</v>
      </c>
      <c r="I25" s="32"/>
      <c r="J25" s="32"/>
      <c r="K25" s="32"/>
      <c r="L25" s="32"/>
      <c r="M25" s="32"/>
      <c r="N25" s="32" t="s">
        <v>311</v>
      </c>
      <c r="O25" s="32"/>
    </row>
    <row r="26" spans="1:15">
      <c r="A26" s="32">
        <v>24</v>
      </c>
      <c r="B26" s="32"/>
      <c r="C26" s="32"/>
      <c r="D26" s="32" t="s">
        <v>299</v>
      </c>
      <c r="E26" s="32" t="s">
        <v>319</v>
      </c>
      <c r="F26" s="32" t="s">
        <v>322</v>
      </c>
      <c r="G26" s="32" t="s">
        <v>323</v>
      </c>
      <c r="H26" s="33" t="s">
        <v>52</v>
      </c>
      <c r="I26" s="32"/>
      <c r="J26" s="32"/>
      <c r="K26" s="32"/>
      <c r="L26" s="32"/>
      <c r="M26" s="32"/>
      <c r="N26" s="32" t="s">
        <v>311</v>
      </c>
      <c r="O26" s="32"/>
    </row>
    <row r="27" spans="1:15">
      <c r="A27" s="32">
        <v>25</v>
      </c>
      <c r="B27" s="32"/>
      <c r="C27" s="32"/>
      <c r="D27" s="32" t="s">
        <v>299</v>
      </c>
      <c r="E27" s="32" t="s">
        <v>319</v>
      </c>
      <c r="F27" s="32" t="s">
        <v>54</v>
      </c>
      <c r="G27" s="32" t="s">
        <v>57</v>
      </c>
      <c r="H27" s="32" t="s">
        <v>52</v>
      </c>
      <c r="I27" s="32"/>
      <c r="J27" s="32"/>
      <c r="K27" s="32"/>
      <c r="L27" s="32"/>
      <c r="M27" s="32"/>
      <c r="N27" s="32" t="s">
        <v>311</v>
      </c>
      <c r="O27" s="32"/>
    </row>
    <row r="28" spans="1:15">
      <c r="A28" s="32">
        <v>26</v>
      </c>
      <c r="B28" s="32"/>
      <c r="C28" s="32"/>
      <c r="D28" s="32" t="s">
        <v>299</v>
      </c>
      <c r="E28" s="32" t="s">
        <v>319</v>
      </c>
      <c r="F28" s="32" t="s">
        <v>324</v>
      </c>
      <c r="G28" s="32" t="s">
        <v>325</v>
      </c>
      <c r="H28" s="32" t="s">
        <v>326</v>
      </c>
      <c r="I28" s="32"/>
      <c r="J28" s="32"/>
      <c r="K28" s="32"/>
      <c r="L28" s="32"/>
      <c r="M28" s="32"/>
      <c r="N28" s="32" t="s">
        <v>311</v>
      </c>
      <c r="O28" s="32"/>
    </row>
    <row r="29" spans="1:15">
      <c r="A29" s="32">
        <v>27</v>
      </c>
      <c r="B29" s="32"/>
      <c r="C29" s="32"/>
      <c r="D29" s="32" t="s">
        <v>299</v>
      </c>
      <c r="E29" s="32" t="s">
        <v>319</v>
      </c>
      <c r="F29" s="32" t="s">
        <v>324</v>
      </c>
      <c r="G29" s="32" t="s">
        <v>327</v>
      </c>
      <c r="H29" s="33" t="s">
        <v>67</v>
      </c>
      <c r="I29" s="32"/>
      <c r="J29" s="32"/>
      <c r="K29" s="32" t="s">
        <v>302</v>
      </c>
      <c r="L29" s="32" t="s">
        <v>308</v>
      </c>
      <c r="M29" s="32"/>
      <c r="N29" s="32" t="s">
        <v>311</v>
      </c>
      <c r="O29" s="32"/>
    </row>
    <row r="30" spans="1:15">
      <c r="A30" s="32">
        <v>28</v>
      </c>
      <c r="B30" s="32"/>
      <c r="C30" s="32"/>
      <c r="D30" s="32" t="s">
        <v>299</v>
      </c>
      <c r="E30" s="32" t="s">
        <v>319</v>
      </c>
      <c r="F30" s="32" t="s">
        <v>324</v>
      </c>
      <c r="G30" s="32" t="s">
        <v>328</v>
      </c>
      <c r="H30" s="33" t="s">
        <v>67</v>
      </c>
      <c r="I30" s="32"/>
      <c r="J30" s="32"/>
      <c r="K30" s="32" t="s">
        <v>302</v>
      </c>
      <c r="L30" s="32" t="s">
        <v>308</v>
      </c>
      <c r="M30" s="32"/>
      <c r="N30" s="32" t="s">
        <v>311</v>
      </c>
      <c r="O30" s="32"/>
    </row>
    <row r="31" spans="1:15">
      <c r="A31" s="32">
        <v>29</v>
      </c>
      <c r="B31" s="32"/>
      <c r="C31" s="32"/>
      <c r="D31" s="32" t="s">
        <v>299</v>
      </c>
      <c r="E31" s="32" t="s">
        <v>319</v>
      </c>
      <c r="F31" s="32" t="s">
        <v>329</v>
      </c>
      <c r="G31" s="32" t="s">
        <v>330</v>
      </c>
      <c r="H31" s="32" t="s">
        <v>52</v>
      </c>
      <c r="I31" s="32"/>
      <c r="J31" s="32" t="s">
        <v>22</v>
      </c>
      <c r="K31" s="32" t="s">
        <v>331</v>
      </c>
      <c r="L31" s="32"/>
      <c r="M31" s="32"/>
      <c r="N31" s="32" t="s">
        <v>311</v>
      </c>
      <c r="O31" s="32"/>
    </row>
    <row r="32" spans="1:15">
      <c r="A32" s="32">
        <v>30</v>
      </c>
      <c r="B32" s="32"/>
      <c r="C32" s="32"/>
      <c r="D32" s="32" t="s">
        <v>299</v>
      </c>
      <c r="E32" s="32" t="s">
        <v>319</v>
      </c>
      <c r="F32" s="32" t="s">
        <v>329</v>
      </c>
      <c r="G32" s="32" t="s">
        <v>332</v>
      </c>
      <c r="H32" s="32" t="s">
        <v>52</v>
      </c>
      <c r="I32" s="32"/>
      <c r="J32" s="32" t="s">
        <v>22</v>
      </c>
      <c r="K32" s="32" t="s">
        <v>331</v>
      </c>
      <c r="L32" s="32"/>
      <c r="M32" s="32"/>
      <c r="N32" s="32" t="s">
        <v>311</v>
      </c>
      <c r="O32" s="32"/>
    </row>
    <row r="33" spans="1:15">
      <c r="A33" s="32">
        <v>31</v>
      </c>
      <c r="B33" s="32"/>
      <c r="C33" s="32"/>
      <c r="D33" s="32" t="s">
        <v>299</v>
      </c>
      <c r="E33" s="32" t="s">
        <v>319</v>
      </c>
      <c r="F33" s="32" t="s">
        <v>329</v>
      </c>
      <c r="G33" s="32" t="s">
        <v>333</v>
      </c>
      <c r="H33" s="32" t="s">
        <v>52</v>
      </c>
      <c r="I33" s="32"/>
      <c r="J33" s="32" t="s">
        <v>22</v>
      </c>
      <c r="K33" s="32" t="s">
        <v>331</v>
      </c>
      <c r="L33" s="32"/>
      <c r="M33" s="32"/>
      <c r="N33" s="32" t="s">
        <v>311</v>
      </c>
      <c r="O33" s="32"/>
    </row>
    <row r="34" spans="1:15">
      <c r="A34" s="32">
        <v>32</v>
      </c>
      <c r="B34" s="32"/>
      <c r="C34" s="32"/>
      <c r="D34" s="32" t="s">
        <v>299</v>
      </c>
      <c r="E34" s="32" t="s">
        <v>319</v>
      </c>
      <c r="F34" s="32" t="s">
        <v>329</v>
      </c>
      <c r="G34" s="32" t="s">
        <v>334</v>
      </c>
      <c r="H34" s="32" t="s">
        <v>52</v>
      </c>
      <c r="I34" s="32"/>
      <c r="J34" s="32" t="s">
        <v>22</v>
      </c>
      <c r="K34" s="32" t="s">
        <v>331</v>
      </c>
      <c r="L34" s="32"/>
      <c r="M34" s="32"/>
      <c r="N34" s="32" t="s">
        <v>311</v>
      </c>
      <c r="O34" s="32"/>
    </row>
    <row r="35" spans="1:15">
      <c r="A35" s="32">
        <v>33</v>
      </c>
      <c r="B35" s="32"/>
      <c r="C35" s="32"/>
      <c r="D35" s="32" t="s">
        <v>299</v>
      </c>
      <c r="E35" s="32" t="s">
        <v>319</v>
      </c>
      <c r="F35" s="32" t="s">
        <v>329</v>
      </c>
      <c r="G35" s="32" t="s">
        <v>335</v>
      </c>
      <c r="H35" s="32" t="s">
        <v>52</v>
      </c>
      <c r="I35" s="32"/>
      <c r="J35" s="32" t="s">
        <v>22</v>
      </c>
      <c r="K35" s="32" t="s">
        <v>331</v>
      </c>
      <c r="L35" s="32"/>
      <c r="M35" s="32"/>
      <c r="N35" s="32" t="s">
        <v>311</v>
      </c>
      <c r="O35" s="32"/>
    </row>
    <row r="36" spans="1:15">
      <c r="A36" s="32">
        <v>34</v>
      </c>
      <c r="B36" s="32"/>
      <c r="C36" s="32"/>
      <c r="D36" s="32" t="s">
        <v>299</v>
      </c>
      <c r="E36" s="32" t="s">
        <v>319</v>
      </c>
      <c r="F36" s="32" t="s">
        <v>329</v>
      </c>
      <c r="G36" s="32" t="s">
        <v>336</v>
      </c>
      <c r="H36" s="32" t="s">
        <v>52</v>
      </c>
      <c r="I36" s="32"/>
      <c r="J36" s="32" t="s">
        <v>22</v>
      </c>
      <c r="K36" s="32" t="s">
        <v>331</v>
      </c>
      <c r="L36" s="32"/>
      <c r="M36" s="32"/>
      <c r="N36" s="32" t="s">
        <v>311</v>
      </c>
      <c r="O36" s="32"/>
    </row>
    <row r="37" spans="1:15">
      <c r="A37" s="32">
        <v>35</v>
      </c>
      <c r="B37" s="32"/>
      <c r="C37" s="32"/>
      <c r="D37" s="32" t="s">
        <v>299</v>
      </c>
      <c r="E37" s="32" t="s">
        <v>319</v>
      </c>
      <c r="F37" s="32" t="s">
        <v>329</v>
      </c>
      <c r="G37" s="32" t="s">
        <v>245</v>
      </c>
      <c r="H37" s="32" t="s">
        <v>52</v>
      </c>
      <c r="I37" s="32"/>
      <c r="J37" s="32" t="s">
        <v>22</v>
      </c>
      <c r="K37" s="32" t="s">
        <v>331</v>
      </c>
      <c r="L37" s="32"/>
      <c r="M37" s="32"/>
      <c r="N37" s="32" t="s">
        <v>311</v>
      </c>
      <c r="O37" s="32"/>
    </row>
    <row r="38" spans="1:15">
      <c r="A38" s="32">
        <v>36</v>
      </c>
      <c r="B38" s="32"/>
      <c r="C38" s="32"/>
      <c r="D38" s="32" t="s">
        <v>299</v>
      </c>
      <c r="E38" s="32" t="s">
        <v>319</v>
      </c>
      <c r="F38" s="32" t="s">
        <v>337</v>
      </c>
      <c r="G38" s="32" t="s">
        <v>338</v>
      </c>
      <c r="H38" s="33" t="s">
        <v>67</v>
      </c>
      <c r="I38" s="32"/>
      <c r="J38" s="32" t="s">
        <v>22</v>
      </c>
      <c r="K38" s="32" t="s">
        <v>302</v>
      </c>
      <c r="L38" s="32" t="s">
        <v>308</v>
      </c>
      <c r="M38" s="32"/>
      <c r="N38" s="32" t="s">
        <v>311</v>
      </c>
      <c r="O38" s="32"/>
    </row>
    <row r="39" spans="1:15">
      <c r="A39" s="32">
        <v>37</v>
      </c>
      <c r="B39" s="32"/>
      <c r="C39" s="32"/>
      <c r="D39" s="32" t="s">
        <v>299</v>
      </c>
      <c r="E39" s="32" t="s">
        <v>319</v>
      </c>
      <c r="F39" s="32" t="s">
        <v>337</v>
      </c>
      <c r="G39" s="32" t="s">
        <v>227</v>
      </c>
      <c r="H39" s="32" t="s">
        <v>339</v>
      </c>
      <c r="I39" s="32"/>
      <c r="J39" s="32" t="s">
        <v>22</v>
      </c>
      <c r="K39" s="32" t="s">
        <v>340</v>
      </c>
      <c r="L39" s="32"/>
      <c r="M39" s="32"/>
      <c r="N39" s="32" t="s">
        <v>311</v>
      </c>
      <c r="O39" s="32"/>
    </row>
    <row r="40" spans="1:15">
      <c r="A40" s="32">
        <v>38</v>
      </c>
      <c r="B40" s="32"/>
      <c r="C40" s="32"/>
      <c r="D40" s="32" t="s">
        <v>299</v>
      </c>
      <c r="E40" s="32" t="s">
        <v>319</v>
      </c>
      <c r="F40" s="32" t="s">
        <v>337</v>
      </c>
      <c r="G40" s="32" t="s">
        <v>341</v>
      </c>
      <c r="H40" s="32" t="s">
        <v>42</v>
      </c>
      <c r="I40" s="32"/>
      <c r="J40" s="32" t="s">
        <v>22</v>
      </c>
      <c r="K40" s="32" t="s">
        <v>302</v>
      </c>
      <c r="L40" s="32"/>
      <c r="M40" s="32"/>
      <c r="N40" s="32" t="s">
        <v>311</v>
      </c>
      <c r="O40" s="32"/>
    </row>
    <row r="41" spans="1:15">
      <c r="A41" s="32">
        <v>39</v>
      </c>
      <c r="B41" s="32"/>
      <c r="C41" s="32"/>
      <c r="D41" s="32" t="s">
        <v>299</v>
      </c>
      <c r="E41" s="32" t="s">
        <v>319</v>
      </c>
      <c r="F41" s="32" t="s">
        <v>337</v>
      </c>
      <c r="G41" s="32" t="s">
        <v>229</v>
      </c>
      <c r="H41" s="33" t="s">
        <v>67</v>
      </c>
      <c r="I41" s="32"/>
      <c r="J41" s="32" t="s">
        <v>22</v>
      </c>
      <c r="K41" s="32" t="s">
        <v>302</v>
      </c>
      <c r="L41" s="32" t="s">
        <v>308</v>
      </c>
      <c r="M41" s="32"/>
      <c r="N41" s="32" t="s">
        <v>311</v>
      </c>
      <c r="O41" s="32"/>
    </row>
    <row r="42" spans="1:15">
      <c r="A42" s="32">
        <v>40</v>
      </c>
      <c r="B42" s="32"/>
      <c r="C42" s="32"/>
      <c r="D42" s="32" t="s">
        <v>342</v>
      </c>
      <c r="E42" s="32" t="s">
        <v>343</v>
      </c>
      <c r="F42" s="32" t="s">
        <v>320</v>
      </c>
      <c r="G42" s="32" t="s">
        <v>344</v>
      </c>
      <c r="H42" s="33" t="s">
        <v>52</v>
      </c>
      <c r="I42" s="32"/>
      <c r="J42" s="32"/>
      <c r="K42" s="32"/>
      <c r="L42" s="32"/>
      <c r="M42" s="32"/>
      <c r="N42" s="32" t="s">
        <v>311</v>
      </c>
      <c r="O42" s="32"/>
    </row>
    <row r="43" spans="1:15">
      <c r="A43" s="32">
        <v>41</v>
      </c>
      <c r="B43" s="32"/>
      <c r="C43" s="32"/>
      <c r="D43" s="32" t="s">
        <v>342</v>
      </c>
      <c r="E43" s="32" t="s">
        <v>343</v>
      </c>
      <c r="F43" s="32" t="s">
        <v>54</v>
      </c>
      <c r="G43" s="32" t="s">
        <v>345</v>
      </c>
      <c r="H43" s="33" t="s">
        <v>52</v>
      </c>
      <c r="I43" s="32"/>
      <c r="J43" s="32"/>
      <c r="K43" s="32"/>
      <c r="L43" s="32"/>
      <c r="M43" s="32"/>
      <c r="N43" s="32" t="s">
        <v>311</v>
      </c>
      <c r="O43" s="32"/>
    </row>
    <row r="44" spans="1:15">
      <c r="A44" s="32">
        <v>42</v>
      </c>
      <c r="B44" s="32"/>
      <c r="C44" s="32"/>
      <c r="D44" s="32" t="s">
        <v>342</v>
      </c>
      <c r="E44" s="32" t="s">
        <v>343</v>
      </c>
      <c r="F44" s="32" t="s">
        <v>54</v>
      </c>
      <c r="G44" s="32" t="s">
        <v>179</v>
      </c>
      <c r="H44" s="33" t="s">
        <v>52</v>
      </c>
      <c r="I44" s="32"/>
      <c r="J44" s="32"/>
      <c r="K44" s="32"/>
      <c r="L44" s="32"/>
      <c r="M44" s="32"/>
      <c r="N44" s="32" t="s">
        <v>311</v>
      </c>
      <c r="O44" s="32"/>
    </row>
    <row r="45" spans="1:15">
      <c r="A45" s="32">
        <v>43</v>
      </c>
      <c r="B45" s="32"/>
      <c r="C45" s="32"/>
      <c r="D45" s="32" t="s">
        <v>342</v>
      </c>
      <c r="E45" s="32" t="s">
        <v>343</v>
      </c>
      <c r="F45" s="32" t="s">
        <v>54</v>
      </c>
      <c r="G45" s="32" t="s">
        <v>181</v>
      </c>
      <c r="H45" s="33" t="s">
        <v>52</v>
      </c>
      <c r="I45" s="32"/>
      <c r="J45" s="32"/>
      <c r="K45" s="32"/>
      <c r="L45" s="32"/>
      <c r="M45" s="32"/>
      <c r="N45" s="32" t="s">
        <v>311</v>
      </c>
      <c r="O45" s="32"/>
    </row>
    <row r="46" spans="1:15">
      <c r="A46" s="32">
        <v>44</v>
      </c>
      <c r="B46" s="32"/>
      <c r="C46" s="32"/>
      <c r="D46" s="32" t="s">
        <v>342</v>
      </c>
      <c r="E46" s="32" t="s">
        <v>343</v>
      </c>
      <c r="F46" s="32" t="s">
        <v>346</v>
      </c>
      <c r="G46" s="32" t="s">
        <v>347</v>
      </c>
      <c r="H46" s="32" t="s">
        <v>326</v>
      </c>
      <c r="I46" s="32"/>
      <c r="J46" s="32"/>
      <c r="K46" s="32"/>
      <c r="L46" s="32"/>
      <c r="M46" s="32"/>
      <c r="N46" s="32" t="s">
        <v>311</v>
      </c>
      <c r="O46" s="32"/>
    </row>
    <row r="47" spans="1:15">
      <c r="A47" s="32">
        <v>45</v>
      </c>
      <c r="B47" s="32"/>
      <c r="C47" s="32"/>
      <c r="D47" s="32" t="s">
        <v>342</v>
      </c>
      <c r="E47" s="32" t="s">
        <v>343</v>
      </c>
      <c r="F47" s="32" t="s">
        <v>346</v>
      </c>
      <c r="G47" s="32" t="s">
        <v>152</v>
      </c>
      <c r="H47" s="32" t="s">
        <v>153</v>
      </c>
      <c r="I47" s="32"/>
      <c r="J47" s="32"/>
      <c r="K47" s="32"/>
      <c r="L47" s="32"/>
      <c r="M47" s="32"/>
      <c r="N47" s="32" t="s">
        <v>311</v>
      </c>
      <c r="O47" s="32"/>
    </row>
    <row r="48" spans="1:15">
      <c r="A48" s="32">
        <v>46</v>
      </c>
      <c r="B48" s="32"/>
      <c r="C48" s="32"/>
      <c r="D48" s="32" t="s">
        <v>342</v>
      </c>
      <c r="E48" s="32" t="s">
        <v>343</v>
      </c>
      <c r="F48" s="32" t="s">
        <v>346</v>
      </c>
      <c r="G48" s="32" t="s">
        <v>183</v>
      </c>
      <c r="H48" s="33" t="s">
        <v>67</v>
      </c>
      <c r="I48" s="32"/>
      <c r="J48" s="32"/>
      <c r="K48" s="35"/>
      <c r="L48" s="32"/>
      <c r="M48" s="32"/>
      <c r="N48" s="32" t="s">
        <v>311</v>
      </c>
      <c r="O48" s="32"/>
    </row>
    <row r="49" spans="1:15">
      <c r="A49" s="35">
        <v>47</v>
      </c>
      <c r="B49" s="35"/>
      <c r="C49" s="35"/>
      <c r="D49" s="35" t="s">
        <v>342</v>
      </c>
      <c r="E49" s="35" t="s">
        <v>343</v>
      </c>
      <c r="F49" s="35" t="s">
        <v>324</v>
      </c>
      <c r="G49" s="35" t="s">
        <v>348</v>
      </c>
      <c r="H49" s="33" t="s">
        <v>67</v>
      </c>
      <c r="I49" s="35"/>
      <c r="J49" s="35"/>
      <c r="K49" s="5"/>
      <c r="L49" s="36"/>
      <c r="M49" s="32"/>
      <c r="N49" s="32" t="s">
        <v>311</v>
      </c>
      <c r="O49" s="35"/>
    </row>
    <row r="50" spans="1:15">
      <c r="A50" s="5"/>
      <c r="B50" s="5"/>
      <c r="C50" s="5"/>
      <c r="D50" s="6" t="s">
        <v>349</v>
      </c>
      <c r="E50" s="5"/>
      <c r="F50" s="5"/>
      <c r="G50" s="6" t="s">
        <v>350</v>
      </c>
      <c r="H50" s="6" t="s">
        <v>52</v>
      </c>
      <c r="I50" s="5"/>
      <c r="J50" s="5"/>
      <c r="N50" s="32" t="s">
        <v>311</v>
      </c>
      <c r="O50" s="5"/>
    </row>
    <row r="51" spans="1:15">
      <c r="A51" s="5">
        <v>48</v>
      </c>
      <c r="B51" s="5"/>
      <c r="C51" s="5"/>
      <c r="D51" s="5" t="s">
        <v>349</v>
      </c>
      <c r="E51" s="5"/>
      <c r="F51" s="5"/>
      <c r="G51" s="5" t="s">
        <v>351</v>
      </c>
      <c r="H51" s="6" t="s">
        <v>67</v>
      </c>
      <c r="I51" s="6"/>
      <c r="J51" s="5"/>
      <c r="K51" s="37"/>
      <c r="L51" s="36"/>
      <c r="M51" s="32"/>
      <c r="N51" s="32" t="s">
        <v>311</v>
      </c>
      <c r="O51" s="5"/>
    </row>
    <row r="52" spans="1:15">
      <c r="A52" s="5">
        <v>49</v>
      </c>
      <c r="B52" s="5"/>
      <c r="C52" s="5"/>
      <c r="D52" s="5" t="s">
        <v>349</v>
      </c>
      <c r="E52" s="5"/>
      <c r="F52" s="5"/>
      <c r="G52" s="5" t="s">
        <v>352</v>
      </c>
      <c r="H52" s="6" t="s">
        <v>67</v>
      </c>
      <c r="I52" s="6"/>
      <c r="J52" s="5"/>
      <c r="K52" s="37"/>
      <c r="L52" s="36"/>
      <c r="M52" s="32"/>
      <c r="N52" s="32" t="s">
        <v>311</v>
      </c>
      <c r="O52" s="5"/>
    </row>
    <row r="53" s="27" customFormat="1" spans="1:15">
      <c r="A53" s="38">
        <v>50</v>
      </c>
      <c r="B53" s="38"/>
      <c r="C53" s="38"/>
      <c r="D53" s="38" t="s">
        <v>349</v>
      </c>
      <c r="E53" s="38"/>
      <c r="F53" s="38"/>
      <c r="G53" s="39" t="s">
        <v>353</v>
      </c>
      <c r="H53" s="39" t="s">
        <v>52</v>
      </c>
      <c r="I53" s="39"/>
      <c r="J53" s="38"/>
      <c r="K53" s="37"/>
      <c r="L53" s="36"/>
      <c r="M53" s="32"/>
      <c r="N53" s="32" t="s">
        <v>311</v>
      </c>
      <c r="O53" s="38"/>
    </row>
    <row r="54" spans="1:15">
      <c r="A54" s="5">
        <v>51</v>
      </c>
      <c r="B54" s="5"/>
      <c r="C54" s="5"/>
      <c r="D54" s="5" t="s">
        <v>349</v>
      </c>
      <c r="E54" s="5"/>
      <c r="F54" s="5"/>
      <c r="G54" s="5" t="s">
        <v>354</v>
      </c>
      <c r="H54" s="5" t="s">
        <v>42</v>
      </c>
      <c r="I54" s="6"/>
      <c r="J54" s="5"/>
      <c r="K54" s="37"/>
      <c r="L54" s="36"/>
      <c r="M54" s="32"/>
      <c r="N54" s="32" t="s">
        <v>311</v>
      </c>
      <c r="O54" s="5"/>
    </row>
    <row r="55" spans="1:15">
      <c r="A55" s="5"/>
      <c r="B55" s="5"/>
      <c r="C55" s="5"/>
      <c r="D55" s="5"/>
      <c r="E55" s="5"/>
      <c r="F55" s="5"/>
      <c r="G55" s="40" t="s">
        <v>355</v>
      </c>
      <c r="H55" s="6" t="s">
        <v>42</v>
      </c>
      <c r="I55" s="6" t="s">
        <v>356</v>
      </c>
      <c r="J55" s="5"/>
      <c r="K55" s="37"/>
      <c r="L55" s="36"/>
      <c r="M55" s="32"/>
      <c r="N55" s="32" t="s">
        <v>311</v>
      </c>
      <c r="O55" s="5"/>
    </row>
    <row r="56" s="27" customFormat="1" spans="1:15">
      <c r="A56" s="38">
        <v>52</v>
      </c>
      <c r="B56" s="38"/>
      <c r="C56" s="38"/>
      <c r="D56" s="38" t="s">
        <v>349</v>
      </c>
      <c r="E56" s="38"/>
      <c r="F56" s="38"/>
      <c r="G56" s="38" t="s">
        <v>357</v>
      </c>
      <c r="H56" s="39" t="s">
        <v>42</v>
      </c>
      <c r="I56" s="39" t="s">
        <v>358</v>
      </c>
      <c r="J56" s="38"/>
      <c r="K56" s="37"/>
      <c r="L56" s="36"/>
      <c r="M56" s="32"/>
      <c r="N56" s="32" t="s">
        <v>311</v>
      </c>
      <c r="O56" s="41"/>
    </row>
    <row r="57" spans="1:15">
      <c r="A57" s="5">
        <v>53</v>
      </c>
      <c r="B57" s="5"/>
      <c r="C57" s="5"/>
      <c r="D57" s="5" t="s">
        <v>349</v>
      </c>
      <c r="E57" s="5"/>
      <c r="F57" s="5"/>
      <c r="G57" s="5" t="s">
        <v>357</v>
      </c>
      <c r="H57" s="5" t="s">
        <v>67</v>
      </c>
      <c r="I57" s="6"/>
      <c r="J57" s="5"/>
      <c r="K57" s="37"/>
      <c r="L57" s="36"/>
      <c r="M57" s="32"/>
      <c r="N57" s="32" t="s">
        <v>311</v>
      </c>
      <c r="O57" s="38" t="s">
        <v>359</v>
      </c>
    </row>
    <row r="58" spans="1:15">
      <c r="A58" s="5">
        <v>56</v>
      </c>
      <c r="B58" s="5"/>
      <c r="C58" s="5"/>
      <c r="D58" s="5" t="s">
        <v>349</v>
      </c>
      <c r="E58" s="5"/>
      <c r="F58" s="5"/>
      <c r="G58" s="6" t="s">
        <v>360</v>
      </c>
      <c r="H58" s="6" t="s">
        <v>42</v>
      </c>
      <c r="I58" s="6"/>
      <c r="J58" s="5"/>
      <c r="K58" s="37" t="s">
        <v>302</v>
      </c>
      <c r="L58" s="36" t="s">
        <v>308</v>
      </c>
      <c r="M58" s="32"/>
      <c r="N58" s="32" t="s">
        <v>311</v>
      </c>
      <c r="O58" s="5"/>
    </row>
    <row r="59" spans="1:15">
      <c r="A59" s="5">
        <v>54</v>
      </c>
      <c r="B59" s="5"/>
      <c r="C59" s="5"/>
      <c r="D59" s="5" t="s">
        <v>349</v>
      </c>
      <c r="E59" s="5"/>
      <c r="F59" s="5"/>
      <c r="G59" s="5" t="s">
        <v>187</v>
      </c>
      <c r="H59" s="6" t="s">
        <v>67</v>
      </c>
      <c r="I59" s="6"/>
      <c r="J59" s="5"/>
      <c r="K59" s="37" t="s">
        <v>302</v>
      </c>
      <c r="L59" s="36" t="s">
        <v>308</v>
      </c>
      <c r="M59" s="32"/>
      <c r="N59" s="32" t="s">
        <v>311</v>
      </c>
      <c r="O59" s="5"/>
    </row>
    <row r="60" spans="1:15">
      <c r="A60" s="5">
        <v>55</v>
      </c>
      <c r="B60" s="5"/>
      <c r="C60" s="5"/>
      <c r="D60" s="5" t="s">
        <v>349</v>
      </c>
      <c r="E60" s="5"/>
      <c r="F60" s="5"/>
      <c r="G60" s="5" t="s">
        <v>361</v>
      </c>
      <c r="H60" s="6" t="s">
        <v>67</v>
      </c>
      <c r="I60" s="6"/>
      <c r="J60" s="5"/>
      <c r="K60" s="37" t="s">
        <v>302</v>
      </c>
      <c r="L60" s="36" t="s">
        <v>308</v>
      </c>
      <c r="M60" s="32"/>
      <c r="N60" s="32" t="s">
        <v>311</v>
      </c>
      <c r="O60" s="5"/>
    </row>
    <row r="61" spans="1:15">
      <c r="A61" s="42">
        <v>57</v>
      </c>
      <c r="B61" s="42"/>
      <c r="C61" s="42"/>
      <c r="D61" s="42" t="s">
        <v>349</v>
      </c>
      <c r="E61" s="42"/>
      <c r="F61" s="42"/>
      <c r="G61" s="42" t="s">
        <v>183</v>
      </c>
      <c r="H61" s="43" t="s">
        <v>67</v>
      </c>
      <c r="I61" s="44"/>
      <c r="J61" s="45"/>
      <c r="K61" s="5" t="s">
        <v>302</v>
      </c>
      <c r="L61" s="36" t="s">
        <v>308</v>
      </c>
      <c r="M61" s="32"/>
      <c r="N61" s="32" t="s">
        <v>311</v>
      </c>
      <c r="O61" s="46"/>
    </row>
    <row r="62" spans="1:15">
      <c r="A62" s="32">
        <v>58</v>
      </c>
      <c r="B62" s="32"/>
      <c r="C62" s="32"/>
      <c r="D62" s="32" t="s">
        <v>349</v>
      </c>
      <c r="E62" s="32"/>
      <c r="F62" s="32"/>
      <c r="G62" s="32" t="s">
        <v>103</v>
      </c>
      <c r="H62" s="47" t="s">
        <v>67</v>
      </c>
      <c r="I62" s="33"/>
      <c r="J62" s="48"/>
      <c r="K62" s="5" t="s">
        <v>302</v>
      </c>
      <c r="L62" s="36" t="s">
        <v>308</v>
      </c>
      <c r="M62" s="32"/>
      <c r="N62" s="32" t="s">
        <v>311</v>
      </c>
      <c r="O62" s="5"/>
    </row>
    <row r="63" spans="1:15">
      <c r="A63" s="32">
        <v>59</v>
      </c>
      <c r="B63" s="32"/>
      <c r="C63" s="32"/>
      <c r="D63" s="32" t="s">
        <v>362</v>
      </c>
      <c r="E63" s="32" t="s">
        <v>343</v>
      </c>
      <c r="F63" s="32" t="s">
        <v>363</v>
      </c>
      <c r="G63" s="32" t="s">
        <v>364</v>
      </c>
      <c r="H63" s="47" t="s">
        <v>52</v>
      </c>
      <c r="I63" s="32"/>
      <c r="J63" s="32"/>
      <c r="K63" s="5"/>
      <c r="L63" s="36"/>
      <c r="M63" s="32"/>
      <c r="N63" s="32" t="s">
        <v>311</v>
      </c>
      <c r="O63" s="42"/>
    </row>
    <row r="64" spans="1:15">
      <c r="A64" s="32">
        <v>60</v>
      </c>
      <c r="B64" s="32"/>
      <c r="C64" s="32"/>
      <c r="D64" s="32" t="s">
        <v>362</v>
      </c>
      <c r="E64" s="32" t="s">
        <v>343</v>
      </c>
      <c r="F64" s="32" t="s">
        <v>363</v>
      </c>
      <c r="G64" s="32" t="s">
        <v>365</v>
      </c>
      <c r="H64" s="47" t="s">
        <v>52</v>
      </c>
      <c r="I64" s="32"/>
      <c r="J64" s="32"/>
      <c r="K64" s="5"/>
      <c r="L64" s="36"/>
      <c r="M64" s="32"/>
      <c r="N64" s="32" t="s">
        <v>311</v>
      </c>
      <c r="O64" s="32"/>
    </row>
    <row r="65" spans="1:15">
      <c r="A65" s="32">
        <v>61</v>
      </c>
      <c r="B65" s="32"/>
      <c r="C65" s="32"/>
      <c r="D65" s="32" t="s">
        <v>362</v>
      </c>
      <c r="E65" s="32" t="s">
        <v>343</v>
      </c>
      <c r="F65" s="32" t="s">
        <v>363</v>
      </c>
      <c r="G65" s="32" t="s">
        <v>366</v>
      </c>
      <c r="H65" s="47" t="s">
        <v>67</v>
      </c>
      <c r="I65" s="32"/>
      <c r="J65" s="32"/>
      <c r="K65" s="5"/>
      <c r="L65" s="36"/>
      <c r="M65" s="32"/>
      <c r="N65" s="32" t="s">
        <v>311</v>
      </c>
      <c r="O65" s="32"/>
    </row>
    <row r="66" spans="1:15">
      <c r="A66" s="32">
        <v>62</v>
      </c>
      <c r="B66" s="32"/>
      <c r="C66" s="32"/>
      <c r="D66" s="32" t="s">
        <v>362</v>
      </c>
      <c r="E66" s="32" t="s">
        <v>343</v>
      </c>
      <c r="F66" s="32" t="s">
        <v>363</v>
      </c>
      <c r="G66" s="32" t="s">
        <v>189</v>
      </c>
      <c r="H66" s="47" t="s">
        <v>52</v>
      </c>
      <c r="I66" s="32"/>
      <c r="J66" s="32"/>
      <c r="K66" s="5"/>
      <c r="L66" s="36"/>
      <c r="M66" s="32"/>
      <c r="N66" s="32" t="s">
        <v>311</v>
      </c>
      <c r="O66" s="32"/>
    </row>
    <row r="67" spans="1:15">
      <c r="A67" s="32">
        <v>63</v>
      </c>
      <c r="B67" s="32"/>
      <c r="C67" s="32"/>
      <c r="D67" s="32" t="s">
        <v>362</v>
      </c>
      <c r="E67" s="32" t="s">
        <v>343</v>
      </c>
      <c r="F67" s="32" t="s">
        <v>367</v>
      </c>
      <c r="G67" s="32" t="s">
        <v>368</v>
      </c>
      <c r="H67" s="47" t="s">
        <v>67</v>
      </c>
      <c r="I67" s="32"/>
      <c r="J67" s="32"/>
      <c r="K67" s="5"/>
      <c r="L67" s="36"/>
      <c r="M67" s="32"/>
      <c r="N67" s="32" t="s">
        <v>311</v>
      </c>
      <c r="O67" s="32"/>
    </row>
    <row r="68" spans="1:15">
      <c r="A68" s="32">
        <v>64</v>
      </c>
      <c r="B68" s="32"/>
      <c r="C68" s="32"/>
      <c r="D68" s="32" t="s">
        <v>369</v>
      </c>
      <c r="E68" s="32" t="s">
        <v>343</v>
      </c>
      <c r="F68" s="32" t="s">
        <v>370</v>
      </c>
      <c r="G68" s="32" t="s">
        <v>371</v>
      </c>
      <c r="H68" s="47" t="s">
        <v>52</v>
      </c>
      <c r="I68" s="32"/>
      <c r="J68" s="32"/>
      <c r="K68" s="5"/>
      <c r="L68" s="36"/>
      <c r="M68" s="32"/>
      <c r="N68" s="32" t="s">
        <v>311</v>
      </c>
      <c r="O68" s="32"/>
    </row>
    <row r="69" spans="1:15">
      <c r="A69" s="32">
        <v>65</v>
      </c>
      <c r="B69" s="32"/>
      <c r="C69" s="32"/>
      <c r="D69" s="32" t="s">
        <v>369</v>
      </c>
      <c r="E69" s="32" t="s">
        <v>343</v>
      </c>
      <c r="F69" s="32" t="s">
        <v>370</v>
      </c>
      <c r="G69" s="32" t="s">
        <v>372</v>
      </c>
      <c r="H69" s="47" t="s">
        <v>52</v>
      </c>
      <c r="I69" s="32"/>
      <c r="J69" s="32"/>
      <c r="K69" s="5"/>
      <c r="L69" s="36"/>
      <c r="M69" s="32"/>
      <c r="N69" s="32" t="s">
        <v>311</v>
      </c>
      <c r="O69" s="32"/>
    </row>
    <row r="70" spans="1:15">
      <c r="A70" s="32">
        <v>66</v>
      </c>
      <c r="B70" s="32"/>
      <c r="C70" s="32"/>
      <c r="D70" s="32" t="s">
        <v>369</v>
      </c>
      <c r="E70" s="32" t="s">
        <v>343</v>
      </c>
      <c r="F70" s="32" t="s">
        <v>370</v>
      </c>
      <c r="G70" s="32" t="s">
        <v>373</v>
      </c>
      <c r="H70" s="47" t="s">
        <v>67</v>
      </c>
      <c r="I70" s="32"/>
      <c r="J70" s="32"/>
      <c r="K70" s="5"/>
      <c r="L70" s="36"/>
      <c r="M70" s="32"/>
      <c r="N70" s="32" t="s">
        <v>311</v>
      </c>
      <c r="O70" s="32"/>
    </row>
    <row r="71" spans="1:15">
      <c r="A71" s="32">
        <v>67</v>
      </c>
      <c r="B71" s="32"/>
      <c r="C71" s="32"/>
      <c r="D71" s="32" t="s">
        <v>369</v>
      </c>
      <c r="E71" s="32" t="s">
        <v>343</v>
      </c>
      <c r="F71" s="32" t="s">
        <v>374</v>
      </c>
      <c r="G71" s="32" t="s">
        <v>375</v>
      </c>
      <c r="H71" s="47" t="s">
        <v>52</v>
      </c>
      <c r="I71" s="32"/>
      <c r="J71" s="32"/>
      <c r="K71" s="5"/>
      <c r="L71" s="36"/>
      <c r="M71" s="32"/>
      <c r="N71" s="32" t="s">
        <v>311</v>
      </c>
      <c r="O71" s="32"/>
    </row>
    <row r="72" spans="1:15">
      <c r="A72" s="32">
        <v>68</v>
      </c>
      <c r="B72" s="32"/>
      <c r="C72" s="32"/>
      <c r="D72" s="32" t="s">
        <v>369</v>
      </c>
      <c r="E72" s="32" t="s">
        <v>343</v>
      </c>
      <c r="F72" s="32" t="s">
        <v>374</v>
      </c>
      <c r="G72" s="32" t="s">
        <v>376</v>
      </c>
      <c r="H72" s="33" t="s">
        <v>52</v>
      </c>
      <c r="I72" s="32"/>
      <c r="J72" s="32"/>
      <c r="K72" s="42"/>
      <c r="L72" s="32"/>
      <c r="M72" s="32"/>
      <c r="N72" s="32" t="s">
        <v>311</v>
      </c>
      <c r="O72" s="32"/>
    </row>
    <row r="73" spans="1:15">
      <c r="A73" s="32">
        <v>69</v>
      </c>
      <c r="B73" s="32"/>
      <c r="C73" s="32"/>
      <c r="D73" s="32" t="s">
        <v>369</v>
      </c>
      <c r="E73" s="32" t="s">
        <v>343</v>
      </c>
      <c r="F73" s="32" t="s">
        <v>374</v>
      </c>
      <c r="G73" s="32" t="s">
        <v>377</v>
      </c>
      <c r="H73" s="47" t="s">
        <v>67</v>
      </c>
      <c r="I73" s="32"/>
      <c r="J73" s="32"/>
      <c r="K73" s="32"/>
      <c r="L73" s="32"/>
      <c r="M73" s="32"/>
      <c r="N73" s="32" t="s">
        <v>311</v>
      </c>
      <c r="O73" s="32"/>
    </row>
    <row r="74" spans="1:15">
      <c r="A74" s="32">
        <v>70</v>
      </c>
      <c r="B74" s="32"/>
      <c r="C74" s="32"/>
      <c r="D74" s="32" t="s">
        <v>369</v>
      </c>
      <c r="E74" s="32" t="s">
        <v>309</v>
      </c>
      <c r="F74" s="32" t="s">
        <v>378</v>
      </c>
      <c r="G74" s="32" t="s">
        <v>379</v>
      </c>
      <c r="H74" s="47" t="s">
        <v>67</v>
      </c>
      <c r="I74" s="32"/>
      <c r="J74" s="32"/>
      <c r="K74" s="32"/>
      <c r="L74" s="32"/>
      <c r="M74" s="32"/>
      <c r="N74" s="32" t="s">
        <v>311</v>
      </c>
      <c r="O74" s="32"/>
    </row>
    <row r="75" spans="1:15">
      <c r="A75" s="32">
        <v>71</v>
      </c>
      <c r="B75" s="32"/>
      <c r="C75" s="32"/>
      <c r="D75" s="32" t="s">
        <v>369</v>
      </c>
      <c r="E75" s="32" t="s">
        <v>309</v>
      </c>
      <c r="F75" s="32" t="s">
        <v>380</v>
      </c>
      <c r="G75" s="32" t="s">
        <v>381</v>
      </c>
      <c r="H75" s="47" t="s">
        <v>67</v>
      </c>
      <c r="I75" s="32"/>
      <c r="J75" s="32"/>
      <c r="K75" s="32"/>
      <c r="L75" s="32"/>
      <c r="M75" s="32"/>
      <c r="N75" s="32" t="s">
        <v>311</v>
      </c>
      <c r="O75" s="32"/>
    </row>
    <row r="76" spans="1:15">
      <c r="A76" s="32">
        <v>72</v>
      </c>
      <c r="B76" s="32"/>
      <c r="C76" s="32"/>
      <c r="D76" s="32" t="s">
        <v>382</v>
      </c>
      <c r="E76" s="32" t="s">
        <v>343</v>
      </c>
      <c r="F76" s="32" t="s">
        <v>383</v>
      </c>
      <c r="G76" s="32" t="s">
        <v>384</v>
      </c>
      <c r="H76" s="33" t="s">
        <v>52</v>
      </c>
      <c r="I76" s="32"/>
      <c r="J76" s="32"/>
      <c r="K76" s="32"/>
      <c r="L76" s="32"/>
      <c r="M76" s="32"/>
      <c r="N76" s="32" t="s">
        <v>311</v>
      </c>
      <c r="O76" s="32"/>
    </row>
    <row r="77" spans="1:15">
      <c r="A77" s="32">
        <v>73</v>
      </c>
      <c r="B77" s="32"/>
      <c r="C77" s="32"/>
      <c r="D77" s="32" t="s">
        <v>382</v>
      </c>
      <c r="E77" s="32" t="s">
        <v>343</v>
      </c>
      <c r="F77" s="32" t="s">
        <v>383</v>
      </c>
      <c r="G77" s="32" t="s">
        <v>385</v>
      </c>
      <c r="H77" s="33" t="s">
        <v>52</v>
      </c>
      <c r="I77" s="32"/>
      <c r="J77" s="32"/>
      <c r="K77" s="32"/>
      <c r="L77" s="32"/>
      <c r="M77" s="32"/>
      <c r="N77" s="32" t="s">
        <v>311</v>
      </c>
      <c r="O77" s="32"/>
    </row>
    <row r="78" spans="1:15">
      <c r="A78" s="32">
        <v>74</v>
      </c>
      <c r="B78" s="32"/>
      <c r="C78" s="32"/>
      <c r="D78" s="32" t="s">
        <v>382</v>
      </c>
      <c r="E78" s="32" t="s">
        <v>343</v>
      </c>
      <c r="F78" s="32" t="s">
        <v>383</v>
      </c>
      <c r="G78" s="32" t="s">
        <v>386</v>
      </c>
      <c r="H78" s="33" t="s">
        <v>315</v>
      </c>
      <c r="I78" s="32"/>
      <c r="J78" s="32"/>
      <c r="K78" s="32"/>
      <c r="L78" s="32"/>
      <c r="M78" s="32"/>
      <c r="N78" s="32" t="s">
        <v>311</v>
      </c>
      <c r="O78" s="32"/>
    </row>
    <row r="79" spans="1:15">
      <c r="A79" s="32">
        <v>75</v>
      </c>
      <c r="B79" s="32"/>
      <c r="C79" s="32"/>
      <c r="D79" s="32" t="s">
        <v>382</v>
      </c>
      <c r="E79" s="32" t="s">
        <v>343</v>
      </c>
      <c r="F79" s="32" t="s">
        <v>387</v>
      </c>
      <c r="G79" s="32" t="s">
        <v>150</v>
      </c>
      <c r="H79" s="33" t="s">
        <v>67</v>
      </c>
      <c r="I79" s="32"/>
      <c r="J79" s="32"/>
      <c r="K79" s="32"/>
      <c r="L79" s="32"/>
      <c r="M79" s="32"/>
      <c r="N79" s="32" t="s">
        <v>311</v>
      </c>
      <c r="O79" s="32"/>
    </row>
    <row r="80" spans="1:15">
      <c r="A80" s="32">
        <v>76</v>
      </c>
      <c r="B80" s="32"/>
      <c r="C80" s="32"/>
      <c r="D80" s="32" t="s">
        <v>382</v>
      </c>
      <c r="E80" s="32" t="s">
        <v>343</v>
      </c>
      <c r="F80" s="32" t="s">
        <v>387</v>
      </c>
      <c r="G80" s="32" t="s">
        <v>152</v>
      </c>
      <c r="H80" s="33" t="s">
        <v>153</v>
      </c>
      <c r="I80" s="32"/>
      <c r="J80" s="32"/>
      <c r="K80" s="32"/>
      <c r="L80" s="32"/>
      <c r="M80" s="32"/>
      <c r="N80" s="32" t="s">
        <v>311</v>
      </c>
      <c r="O80" s="32"/>
    </row>
    <row r="81" spans="1:15">
      <c r="A81" s="32">
        <v>77</v>
      </c>
      <c r="B81" s="32"/>
      <c r="C81" s="32"/>
      <c r="D81" s="32" t="s">
        <v>382</v>
      </c>
      <c r="E81" s="32" t="s">
        <v>343</v>
      </c>
      <c r="F81" s="32" t="s">
        <v>387</v>
      </c>
      <c r="G81" s="32" t="s">
        <v>183</v>
      </c>
      <c r="H81" s="33" t="s">
        <v>67</v>
      </c>
      <c r="I81" s="32"/>
      <c r="J81" s="32"/>
      <c r="K81" s="32"/>
      <c r="L81" s="32"/>
      <c r="M81" s="32"/>
      <c r="N81" s="32" t="s">
        <v>311</v>
      </c>
      <c r="O81" s="32"/>
    </row>
    <row r="82" spans="1:15">
      <c r="A82" s="32">
        <v>78</v>
      </c>
      <c r="B82" s="32"/>
      <c r="C82" s="32"/>
      <c r="D82" s="32" t="s">
        <v>382</v>
      </c>
      <c r="E82" s="32" t="s">
        <v>343</v>
      </c>
      <c r="F82" s="32" t="s">
        <v>324</v>
      </c>
      <c r="G82" s="32" t="s">
        <v>388</v>
      </c>
      <c r="H82" s="33" t="s">
        <v>389</v>
      </c>
      <c r="I82" s="32"/>
      <c r="J82" s="32"/>
      <c r="K82" s="32"/>
      <c r="L82" s="32"/>
      <c r="M82" s="32"/>
      <c r="N82" s="32" t="s">
        <v>311</v>
      </c>
      <c r="O82" s="32"/>
    </row>
    <row r="83" spans="1:15">
      <c r="A83" s="32">
        <v>79</v>
      </c>
      <c r="B83" s="32"/>
      <c r="C83" s="32"/>
      <c r="D83" s="32" t="s">
        <v>382</v>
      </c>
      <c r="E83" s="32" t="s">
        <v>343</v>
      </c>
      <c r="F83" s="32" t="s">
        <v>324</v>
      </c>
      <c r="G83" s="32" t="s">
        <v>231</v>
      </c>
      <c r="H83" s="32"/>
      <c r="I83" s="32"/>
      <c r="J83" s="32"/>
      <c r="K83" s="32"/>
      <c r="L83" s="32"/>
      <c r="M83" s="32"/>
      <c r="N83" s="32" t="s">
        <v>311</v>
      </c>
      <c r="O83" s="32"/>
    </row>
    <row r="84" spans="1:15">
      <c r="A84" s="32">
        <v>80</v>
      </c>
      <c r="B84" s="32"/>
      <c r="C84" s="32"/>
      <c r="D84" s="32" t="s">
        <v>382</v>
      </c>
      <c r="E84" s="32" t="s">
        <v>343</v>
      </c>
      <c r="F84" s="32" t="s">
        <v>324</v>
      </c>
      <c r="G84" s="32" t="s">
        <v>390</v>
      </c>
      <c r="H84" s="32"/>
      <c r="I84" s="32"/>
      <c r="J84" s="32"/>
      <c r="K84" s="32"/>
      <c r="L84" s="32"/>
      <c r="M84" s="32"/>
      <c r="N84" s="32" t="s">
        <v>311</v>
      </c>
      <c r="O84" s="32"/>
    </row>
    <row r="85" spans="1:15">
      <c r="A85" s="32">
        <v>81</v>
      </c>
      <c r="B85" s="32"/>
      <c r="C85" s="32"/>
      <c r="D85" s="32" t="s">
        <v>391</v>
      </c>
      <c r="E85" s="32" t="s">
        <v>343</v>
      </c>
      <c r="F85" s="32" t="s">
        <v>392</v>
      </c>
      <c r="G85" s="32" t="s">
        <v>235</v>
      </c>
      <c r="H85" s="32"/>
      <c r="I85" s="32"/>
      <c r="J85" s="32"/>
      <c r="K85" s="32"/>
      <c r="L85" s="32"/>
      <c r="M85" s="32"/>
      <c r="N85" s="32" t="s">
        <v>311</v>
      </c>
      <c r="O85" s="32"/>
    </row>
    <row r="86" spans="1:15">
      <c r="A86" s="32">
        <v>82</v>
      </c>
      <c r="B86" s="32"/>
      <c r="C86" s="32"/>
      <c r="D86" s="32" t="s">
        <v>391</v>
      </c>
      <c r="E86" s="32" t="s">
        <v>343</v>
      </c>
      <c r="F86" s="32" t="s">
        <v>392</v>
      </c>
      <c r="G86" s="32" t="s">
        <v>393</v>
      </c>
      <c r="H86" s="32"/>
      <c r="I86" s="32"/>
      <c r="J86" s="32"/>
      <c r="K86" s="32"/>
      <c r="L86" s="32"/>
      <c r="M86" s="32"/>
      <c r="N86" s="32" t="s">
        <v>311</v>
      </c>
      <c r="O86" s="32"/>
    </row>
    <row r="87" spans="1:15">
      <c r="A87" s="32">
        <v>83</v>
      </c>
      <c r="B87" s="32"/>
      <c r="C87" s="32"/>
      <c r="D87" s="32" t="s">
        <v>391</v>
      </c>
      <c r="E87" s="32" t="s">
        <v>343</v>
      </c>
      <c r="F87" s="32" t="s">
        <v>392</v>
      </c>
      <c r="G87" s="32" t="s">
        <v>237</v>
      </c>
      <c r="H87" s="32"/>
      <c r="I87" s="32"/>
      <c r="J87" s="32"/>
      <c r="K87" s="32"/>
      <c r="L87" s="32"/>
      <c r="M87" s="32"/>
      <c r="N87" s="32" t="s">
        <v>311</v>
      </c>
      <c r="O87" s="32"/>
    </row>
    <row r="88" spans="1:15">
      <c r="A88" s="32">
        <v>84</v>
      </c>
      <c r="B88" s="32"/>
      <c r="C88" s="32"/>
      <c r="D88" s="32" t="s">
        <v>391</v>
      </c>
      <c r="E88" s="32" t="s">
        <v>343</v>
      </c>
      <c r="F88" s="32" t="s">
        <v>392</v>
      </c>
      <c r="G88" s="32" t="s">
        <v>394</v>
      </c>
      <c r="H88" s="32"/>
      <c r="I88" s="32"/>
      <c r="J88" s="32"/>
      <c r="K88" s="32"/>
      <c r="L88" s="32"/>
      <c r="M88" s="32"/>
      <c r="N88" s="32" t="s">
        <v>311</v>
      </c>
      <c r="O88" s="32"/>
    </row>
    <row r="89" spans="1:15">
      <c r="A89" s="32">
        <v>85</v>
      </c>
      <c r="B89" s="32"/>
      <c r="C89" s="32"/>
      <c r="D89" s="32" t="s">
        <v>391</v>
      </c>
      <c r="E89" s="32" t="s">
        <v>343</v>
      </c>
      <c r="F89" s="32" t="s">
        <v>395</v>
      </c>
      <c r="G89" s="32" t="s">
        <v>239</v>
      </c>
      <c r="H89" s="32"/>
      <c r="I89" s="32"/>
      <c r="J89" s="32"/>
      <c r="K89" s="32"/>
      <c r="L89" s="32"/>
      <c r="M89" s="32"/>
      <c r="N89" s="32" t="s">
        <v>311</v>
      </c>
      <c r="O89" s="32"/>
    </row>
    <row r="90" spans="1:15">
      <c r="A90" s="32">
        <v>86</v>
      </c>
      <c r="B90" s="32"/>
      <c r="C90" s="32"/>
      <c r="D90" s="32" t="s">
        <v>391</v>
      </c>
      <c r="E90" s="32" t="s">
        <v>343</v>
      </c>
      <c r="F90" s="32" t="s">
        <v>395</v>
      </c>
      <c r="G90" s="32" t="s">
        <v>396</v>
      </c>
      <c r="H90" s="32"/>
      <c r="I90" s="32"/>
      <c r="J90" s="32"/>
      <c r="K90" s="32"/>
      <c r="L90" s="32"/>
      <c r="M90" s="32"/>
      <c r="N90" s="32" t="s">
        <v>311</v>
      </c>
      <c r="O90" s="32"/>
    </row>
    <row r="91" spans="1:15">
      <c r="A91" s="32">
        <v>87</v>
      </c>
      <c r="B91" s="32"/>
      <c r="C91" s="32"/>
      <c r="D91" s="32" t="s">
        <v>391</v>
      </c>
      <c r="E91" s="32" t="s">
        <v>343</v>
      </c>
      <c r="F91" s="32" t="s">
        <v>395</v>
      </c>
      <c r="G91" s="32" t="s">
        <v>243</v>
      </c>
      <c r="H91" s="32"/>
      <c r="I91" s="32"/>
      <c r="J91" s="32"/>
      <c r="K91" s="32"/>
      <c r="L91" s="32"/>
      <c r="M91" s="32"/>
      <c r="N91" s="32" t="s">
        <v>311</v>
      </c>
      <c r="O91" s="32"/>
    </row>
    <row r="92" spans="1:15">
      <c r="A92" s="32">
        <v>88</v>
      </c>
      <c r="B92" s="32"/>
      <c r="C92" s="32"/>
      <c r="D92" s="32" t="s">
        <v>391</v>
      </c>
      <c r="E92" s="32" t="s">
        <v>343</v>
      </c>
      <c r="F92" s="32" t="s">
        <v>395</v>
      </c>
      <c r="G92" s="32" t="s">
        <v>245</v>
      </c>
      <c r="H92" s="32"/>
      <c r="I92" s="32"/>
      <c r="J92" s="32"/>
      <c r="K92" s="32"/>
      <c r="L92" s="32"/>
      <c r="M92" s="32"/>
      <c r="N92" s="32" t="s">
        <v>311</v>
      </c>
      <c r="O92" s="32"/>
    </row>
    <row r="93" spans="1:15">
      <c r="A93" s="32">
        <v>89</v>
      </c>
      <c r="B93" s="32"/>
      <c r="C93" s="32"/>
      <c r="D93" s="32" t="s">
        <v>397</v>
      </c>
      <c r="E93" s="32" t="s">
        <v>343</v>
      </c>
      <c r="F93" s="32" t="s">
        <v>398</v>
      </c>
      <c r="G93" s="32" t="s">
        <v>399</v>
      </c>
      <c r="H93" s="32"/>
      <c r="I93" s="32"/>
      <c r="J93" s="32"/>
      <c r="K93" s="32"/>
      <c r="L93" s="32"/>
      <c r="M93" s="32"/>
      <c r="N93" s="33" t="s">
        <v>303</v>
      </c>
      <c r="O93" s="32"/>
    </row>
    <row r="94" spans="1:15">
      <c r="A94" s="32">
        <v>90</v>
      </c>
      <c r="B94" s="32"/>
      <c r="C94" s="32"/>
      <c r="D94" s="32" t="s">
        <v>397</v>
      </c>
      <c r="E94" s="32" t="s">
        <v>343</v>
      </c>
      <c r="F94" s="32" t="s">
        <v>398</v>
      </c>
      <c r="G94" s="32" t="s">
        <v>168</v>
      </c>
      <c r="H94" s="32"/>
      <c r="I94" s="32"/>
      <c r="J94" s="32"/>
      <c r="K94" s="32"/>
      <c r="L94" s="32"/>
      <c r="M94" s="32"/>
      <c r="N94" s="33" t="s">
        <v>303</v>
      </c>
      <c r="O94" s="32"/>
    </row>
    <row r="95" spans="1:15">
      <c r="A95" s="32">
        <v>91</v>
      </c>
      <c r="B95" s="32"/>
      <c r="C95" s="32"/>
      <c r="D95" s="32" t="s">
        <v>397</v>
      </c>
      <c r="E95" s="32" t="s">
        <v>343</v>
      </c>
      <c r="F95" s="32" t="s">
        <v>398</v>
      </c>
      <c r="G95" s="32" t="s">
        <v>400</v>
      </c>
      <c r="H95" s="32"/>
      <c r="I95" s="32"/>
      <c r="J95" s="32"/>
      <c r="K95" s="32"/>
      <c r="L95" s="32"/>
      <c r="M95" s="32"/>
      <c r="N95" s="33" t="s">
        <v>303</v>
      </c>
      <c r="O95" s="32"/>
    </row>
    <row r="96" spans="1:15">
      <c r="A96" s="32">
        <v>92</v>
      </c>
      <c r="B96" s="32"/>
      <c r="C96" s="32"/>
      <c r="D96" s="32" t="s">
        <v>397</v>
      </c>
      <c r="E96" s="32" t="s">
        <v>343</v>
      </c>
      <c r="F96" s="32" t="s">
        <v>398</v>
      </c>
      <c r="G96" s="32" t="s">
        <v>170</v>
      </c>
      <c r="H96" s="32"/>
      <c r="I96" s="32"/>
      <c r="J96" s="32"/>
      <c r="K96" s="32"/>
      <c r="L96" s="32"/>
      <c r="M96" s="32"/>
      <c r="N96" s="33" t="s">
        <v>303</v>
      </c>
      <c r="O96" s="32"/>
    </row>
    <row r="97" spans="1:15">
      <c r="A97" s="32">
        <v>93</v>
      </c>
      <c r="B97" s="32"/>
      <c r="C97" s="32"/>
      <c r="D97" s="32" t="s">
        <v>397</v>
      </c>
      <c r="E97" s="32" t="s">
        <v>343</v>
      </c>
      <c r="F97" s="32" t="s">
        <v>398</v>
      </c>
      <c r="G97" s="32" t="s">
        <v>171</v>
      </c>
      <c r="H97" s="32"/>
      <c r="I97" s="32"/>
      <c r="J97" s="32"/>
      <c r="K97" s="32"/>
      <c r="L97" s="32"/>
      <c r="M97" s="32"/>
      <c r="N97" s="33" t="s">
        <v>303</v>
      </c>
      <c r="O97" s="3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E2" sqref="E2"/>
    </sheetView>
  </sheetViews>
  <sheetFormatPr defaultColWidth="9" defaultRowHeight="13.5" outlineLevelRow="7" outlineLevelCol="4"/>
  <cols>
    <col min="1" max="1" width="16.5" style="22" customWidth="1"/>
    <col min="2" max="2" width="9" style="22"/>
    <col min="3" max="3" width="13.5" style="22" customWidth="1"/>
    <col min="4" max="4" width="14.5" style="22" customWidth="1"/>
    <col min="5" max="5" width="40.8416666666667" customWidth="1"/>
  </cols>
  <sheetData>
    <row r="1" ht="15" spans="1:5">
      <c r="A1" s="23" t="s">
        <v>11</v>
      </c>
      <c r="B1" s="23" t="s">
        <v>401</v>
      </c>
      <c r="C1" s="23" t="s">
        <v>402</v>
      </c>
      <c r="D1" s="23" t="s">
        <v>403</v>
      </c>
    </row>
    <row r="2" ht="28.25" customHeight="1" spans="1:5">
      <c r="A2" s="24" t="s">
        <v>258</v>
      </c>
      <c r="B2" s="6" t="s">
        <v>404</v>
      </c>
      <c r="C2" s="5" t="s">
        <v>405</v>
      </c>
      <c r="D2" s="5" t="s">
        <v>405</v>
      </c>
      <c r="E2" s="25"/>
    </row>
    <row r="3" ht="28.25" customHeight="1" spans="1:5">
      <c r="A3" s="24" t="s">
        <v>265</v>
      </c>
      <c r="B3" s="6" t="s">
        <v>406</v>
      </c>
      <c r="C3" s="5" t="s">
        <v>405</v>
      </c>
      <c r="D3" s="5" t="s">
        <v>405</v>
      </c>
    </row>
    <row r="4" ht="28.25" customHeight="1" spans="1:5">
      <c r="A4" s="24" t="s">
        <v>270</v>
      </c>
      <c r="B4" s="6" t="s">
        <v>407</v>
      </c>
      <c r="C4" s="5" t="s">
        <v>405</v>
      </c>
      <c r="D4" s="5" t="s">
        <v>405</v>
      </c>
    </row>
    <row r="5" ht="28.25" customHeight="1" spans="1:5">
      <c r="A5" s="24" t="s">
        <v>274</v>
      </c>
      <c r="B5" s="6" t="s">
        <v>408</v>
      </c>
      <c r="C5" s="5" t="s">
        <v>405</v>
      </c>
      <c r="D5" s="5" t="s">
        <v>405</v>
      </c>
    </row>
    <row r="6" ht="28.25" customHeight="1" spans="1:5">
      <c r="A6" s="24" t="s">
        <v>277</v>
      </c>
      <c r="B6" s="6" t="s">
        <v>409</v>
      </c>
      <c r="C6" s="5" t="s">
        <v>405</v>
      </c>
      <c r="D6" s="5" t="s">
        <v>405</v>
      </c>
    </row>
    <row r="7" ht="28.25" customHeight="1" spans="1:5">
      <c r="A7" s="24" t="s">
        <v>280</v>
      </c>
      <c r="B7" s="6" t="s">
        <v>410</v>
      </c>
      <c r="C7" s="5" t="s">
        <v>405</v>
      </c>
      <c r="D7" s="5" t="s">
        <v>405</v>
      </c>
    </row>
    <row r="8" ht="28.25" customHeight="1" spans="1:5">
      <c r="A8" s="24" t="s">
        <v>282</v>
      </c>
      <c r="B8" s="6" t="s">
        <v>411</v>
      </c>
      <c r="C8" s="5" t="s">
        <v>405</v>
      </c>
      <c r="D8" s="5" t="s">
        <v>405</v>
      </c>
      <c r="E8" s="26"/>
    </row>
  </sheetData>
  <sheetProtection formatCells="0" formatColumns="0" formatRows="0" insertRows="0" insertColumns="0" insertHyperlinks="0" deleteColumns="0" deleteRows="0" sort="0" autoFilter="0" pivotTables="0"/>
  <dataValidations count="2">
    <dataValidation allowBlank="1" showErrorMessage="1" sqref="C1:D1 A2:A7" errorStyle="information"/>
    <dataValidation type="list" allowBlank="1" showErrorMessage="1" errorTitle="错误提示" error="请输入下拉列表中的值" id="{40124bac-7f17-4ae5-8881-c48d0743a5d6}" sqref="C2:D8" errorStyle="information">
      <formula1>"已完成,未完成"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11"/>
  <sheetViews>
    <sheetView topLeftCell="H6" workbookViewId="0">
      <selection activeCell="C7" sqref="C7:C10"/>
    </sheetView>
  </sheetViews>
  <sheetFormatPr defaultColWidth="9" defaultRowHeight="13.5" outlineLevelCol="7"/>
  <cols>
    <col min="2" max="2" width="5.15" customWidth="1"/>
    <col min="3" max="3" width="10.025" customWidth="1"/>
    <col min="4" max="4" width="13.65" customWidth="1"/>
    <col min="5" max="5" width="15.05" customWidth="1"/>
    <col min="6" max="6" width="12.75" customWidth="1"/>
    <col min="7" max="7" width="13.25" customWidth="1"/>
    <col min="8" max="8" width="12.25" customWidth="1"/>
  </cols>
  <sheetData>
    <row r="3" ht="15" spans="2:8">
      <c r="B3" s="17" t="s">
        <v>9</v>
      </c>
      <c r="C3" s="17" t="s">
        <v>12</v>
      </c>
      <c r="D3" s="17" t="s">
        <v>412</v>
      </c>
      <c r="E3" s="17" t="s">
        <v>413</v>
      </c>
      <c r="F3" s="17" t="s">
        <v>414</v>
      </c>
      <c r="G3" s="17" t="s">
        <v>48</v>
      </c>
      <c r="H3" s="17" t="s">
        <v>5</v>
      </c>
    </row>
    <row r="4" ht="16.5" spans="2:8">
      <c r="B4" s="18">
        <v>1</v>
      </c>
      <c r="C4" s="19" t="s">
        <v>299</v>
      </c>
      <c r="D4" s="18">
        <f>COUNTA(阶段交付物情况!C83:C120)</f>
        <v>38</v>
      </c>
      <c r="E4" s="18">
        <f>SUM(阶段交付物情况!AE83:AE120)</f>
        <v>22</v>
      </c>
      <c r="F4" s="18">
        <f>COUNTIF(阶段交付物情况!AE83:AE120,"0")</f>
        <v>14</v>
      </c>
      <c r="G4" s="18">
        <f>COUNTIF(阶段交付物情况!AE83:AE120,"不涉及")</f>
        <v>2</v>
      </c>
      <c r="H4" s="18"/>
    </row>
    <row r="5" ht="16.5" spans="2:8">
      <c r="B5" s="18">
        <v>2</v>
      </c>
      <c r="C5" s="19" t="s">
        <v>342</v>
      </c>
      <c r="D5" s="18">
        <f>COUNTA(阶段交付物情况!C4:C15)</f>
        <v>12</v>
      </c>
      <c r="E5" s="18">
        <f>SUM(阶段交付物情况!AE4:AE15)</f>
        <v>11</v>
      </c>
      <c r="F5" s="18">
        <f>COUNTIF(阶段交付物情况!AE4:AE15,"0")</f>
        <v>1</v>
      </c>
      <c r="G5" s="18">
        <f>COUNTIF(阶段交付物情况!AE4:AE15,"不涉及")</f>
        <v>0</v>
      </c>
      <c r="H5" s="18"/>
    </row>
    <row r="6" ht="33.75" customHeight="1" spans="2:8">
      <c r="B6" s="18">
        <v>3</v>
      </c>
      <c r="C6" s="19" t="s">
        <v>415</v>
      </c>
      <c r="D6" s="18">
        <f>COUNTA(阶段交付物情况!C16:C38)</f>
        <v>23</v>
      </c>
      <c r="E6" s="18">
        <f>SUM(阶段交付物情况!AE16:AE38)</f>
        <v>30</v>
      </c>
      <c r="F6" s="18">
        <f>COUNTIF(阶段交付物情况!AE16:AE38,"0")</f>
        <v>0</v>
      </c>
      <c r="G6" s="18">
        <f>COUNTIF(阶段交付物情况!AE16:AE38,"不涉及")</f>
        <v>0</v>
      </c>
      <c r="H6" s="19"/>
    </row>
    <row r="7" ht="16.5" spans="2:8">
      <c r="B7" s="18">
        <v>4</v>
      </c>
      <c r="C7" s="19" t="s">
        <v>362</v>
      </c>
      <c r="D7" s="18">
        <f>COUNTA(阶段交付物情况!C39:C54)</f>
        <v>16</v>
      </c>
      <c r="E7" s="18">
        <f>SUM(阶段交付物情况!AE39:AE54)</f>
        <v>17</v>
      </c>
      <c r="F7" s="18">
        <f>COUNTIF(阶段交付物情况!AE39:AE54,"0")</f>
        <v>0</v>
      </c>
      <c r="G7" s="18">
        <f>COUNTIF(阶段交付物情况!AE39:AE54,"不涉及")</f>
        <v>1</v>
      </c>
      <c r="H7" s="18"/>
    </row>
    <row r="8" ht="33" spans="2:8">
      <c r="B8" s="18">
        <v>5</v>
      </c>
      <c r="C8" s="19" t="s">
        <v>416</v>
      </c>
      <c r="D8" s="18">
        <f>COUNTA(阶段交付物情况!C55:C72)</f>
        <v>18</v>
      </c>
      <c r="E8" s="18">
        <f>SUM(阶段交付物情况!AE55:AE72)</f>
        <v>26</v>
      </c>
      <c r="F8" s="18">
        <f>COUNTIF(阶段交付物情况!AE55:AE72,"0")</f>
        <v>0</v>
      </c>
      <c r="G8" s="18">
        <f>COUNTIF(阶段交付物情况!AE55:AE72,"不涉及")</f>
        <v>1</v>
      </c>
      <c r="H8" s="19"/>
    </row>
    <row r="9" ht="33" spans="2:8">
      <c r="B9" s="18">
        <v>6</v>
      </c>
      <c r="C9" s="19" t="s">
        <v>417</v>
      </c>
      <c r="D9" s="18">
        <f>COUNTA(阶段交付物情况!C73:C76)</f>
        <v>4</v>
      </c>
      <c r="E9" s="18">
        <f>SUM(阶段交付物情况!AE73:AE76)</f>
        <v>4</v>
      </c>
      <c r="F9" s="18">
        <f>COUNTIF(阶段交付物情况!AE73:AE76,"0")</f>
        <v>0</v>
      </c>
      <c r="G9" s="18">
        <f>COUNTIF(阶段交付物情况!AE73:AE76,"不涉及")</f>
        <v>0</v>
      </c>
      <c r="H9" s="18"/>
    </row>
    <row r="10" ht="16.5" spans="2:8">
      <c r="B10" s="18">
        <v>7</v>
      </c>
      <c r="C10" s="19" t="s">
        <v>397</v>
      </c>
      <c r="D10" s="18">
        <f>COUNTA(阶段交付物情况!C77:C82)</f>
        <v>6</v>
      </c>
      <c r="E10" s="18">
        <f>SUM(阶段交付物情况!AE77:AE82)</f>
        <v>6</v>
      </c>
      <c r="F10" s="18">
        <f>COUNTIF(阶段交付物情况!AE77:AE82,"0")</f>
        <v>0</v>
      </c>
      <c r="G10" s="18">
        <f>COUNTIF(阶段交付物情况!AE77:AE82,"不涉及")</f>
        <v>0</v>
      </c>
      <c r="H10" s="18"/>
    </row>
    <row r="11" ht="16.5" spans="2:8">
      <c r="B11" s="20" t="s">
        <v>418</v>
      </c>
      <c r="C11" s="21"/>
      <c r="D11" s="18">
        <f>SUM(D4:D10)</f>
        <v>117</v>
      </c>
      <c r="E11" s="18">
        <f>SUM(E4:E10)</f>
        <v>116</v>
      </c>
      <c r="F11" s="18">
        <f>SUM(F4:F10)</f>
        <v>15</v>
      </c>
      <c r="G11" s="18">
        <f>SUM(G4:G10)</f>
        <v>4</v>
      </c>
      <c r="H11" s="18"/>
    </row>
  </sheetData>
  <sheetProtection formatCells="0" formatColumns="0" formatRows="0" insertRows="0" insertColumns="0" insertHyperlinks="0" deleteColumns="0" deleteRows="0" sort="0" autoFilter="0" pivotTables="0"/>
  <mergeCells count="1">
    <mergeCell ref="B11:C1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opLeftCell="F1" workbookViewId="0">
      <selection activeCell="F1" sqref="F1"/>
    </sheetView>
  </sheetViews>
  <sheetFormatPr defaultColWidth="9" defaultRowHeight="13.5" outlineLevelCol="5"/>
  <cols>
    <col min="1" max="2" width="9" style="1"/>
    <col min="3" max="3" width="83.75" style="3" customWidth="1"/>
    <col min="4" max="4" width="20.25" style="3" customWidth="1"/>
    <col min="5" max="5" width="9" style="1"/>
    <col min="6" max="6" width="22" style="1" customWidth="1"/>
    <col min="7" max="16384" width="9" style="3"/>
  </cols>
  <sheetData>
    <row r="1" ht="40.5" customHeight="1" spans="1:6">
      <c r="A1" s="4" t="s">
        <v>9</v>
      </c>
      <c r="B1" s="4" t="s">
        <v>419</v>
      </c>
      <c r="C1" s="4" t="s">
        <v>420</v>
      </c>
      <c r="D1" s="4" t="s">
        <v>421</v>
      </c>
      <c r="E1" s="4" t="s">
        <v>422</v>
      </c>
      <c r="F1" s="4" t="s">
        <v>423</v>
      </c>
    </row>
    <row r="2" spans="1:6">
      <c r="A2" s="6">
        <f>ROW()-1</f>
        <v>1</v>
      </c>
      <c r="B2" s="6"/>
      <c r="C2" s="11"/>
      <c r="D2" s="11"/>
      <c r="E2" s="6"/>
      <c r="F2" s="12"/>
    </row>
    <row r="3" spans="1:6">
      <c r="A3" s="6">
        <f t="shared" ref="A3:A17" si="0">ROW()-1</f>
        <v>2</v>
      </c>
      <c r="B3" s="6"/>
      <c r="C3" s="11"/>
      <c r="D3" s="13"/>
      <c r="E3" s="14"/>
      <c r="F3" s="15"/>
    </row>
    <row r="4" spans="1:6">
      <c r="A4" s="6">
        <f t="shared" si="0"/>
        <v>3</v>
      </c>
      <c r="B4" s="6"/>
      <c r="C4" s="16"/>
      <c r="D4" s="16"/>
      <c r="E4" s="14"/>
      <c r="F4" s="5"/>
    </row>
    <row r="5" spans="1:6">
      <c r="A5" s="6">
        <f t="shared" si="0"/>
        <v>4</v>
      </c>
      <c r="B5" s="6"/>
      <c r="C5" s="16"/>
      <c r="D5" s="16"/>
      <c r="E5" s="14"/>
      <c r="F5" s="5"/>
    </row>
    <row r="6" spans="1:6">
      <c r="A6" s="6">
        <f t="shared" si="0"/>
        <v>5</v>
      </c>
      <c r="B6" s="6"/>
      <c r="C6" s="16"/>
      <c r="D6" s="16"/>
      <c r="E6" s="14"/>
      <c r="F6" s="5"/>
    </row>
    <row r="7" spans="1:6">
      <c r="A7" s="6">
        <f t="shared" si="0"/>
        <v>6</v>
      </c>
      <c r="B7" s="6"/>
      <c r="C7" s="16"/>
      <c r="D7" s="16"/>
      <c r="E7" s="14"/>
      <c r="F7" s="5"/>
    </row>
    <row r="8" spans="1:6">
      <c r="A8" s="6">
        <f t="shared" si="0"/>
        <v>7</v>
      </c>
      <c r="B8" s="6"/>
      <c r="C8" s="16"/>
      <c r="D8" s="16"/>
      <c r="E8" s="5"/>
      <c r="F8" s="5"/>
    </row>
    <row r="9" spans="1:6">
      <c r="A9" s="6">
        <f t="shared" si="0"/>
        <v>8</v>
      </c>
      <c r="B9" s="6"/>
      <c r="C9" s="16"/>
      <c r="D9" s="16"/>
      <c r="E9" s="5"/>
      <c r="F9" s="5"/>
    </row>
    <row r="10" spans="1:6">
      <c r="A10" s="6">
        <f t="shared" si="0"/>
        <v>9</v>
      </c>
      <c r="B10" s="6"/>
      <c r="C10" s="16"/>
      <c r="D10" s="16"/>
      <c r="E10" s="5"/>
      <c r="F10" s="5"/>
    </row>
    <row r="11" spans="1:6">
      <c r="A11" s="6">
        <f t="shared" si="0"/>
        <v>10</v>
      </c>
      <c r="B11" s="6"/>
      <c r="C11" s="16"/>
      <c r="D11" s="16"/>
      <c r="E11" s="5"/>
      <c r="F11" s="5"/>
    </row>
    <row r="12" spans="1:6">
      <c r="A12" s="6">
        <f t="shared" si="0"/>
        <v>11</v>
      </c>
      <c r="B12" s="6"/>
      <c r="C12" s="16"/>
      <c r="D12" s="16"/>
      <c r="E12" s="5"/>
      <c r="F12" s="5"/>
    </row>
    <row r="13" spans="1:6">
      <c r="A13" s="6">
        <f t="shared" si="0"/>
        <v>12</v>
      </c>
      <c r="B13" s="6"/>
      <c r="C13" s="16"/>
      <c r="D13" s="16"/>
      <c r="E13" s="5"/>
      <c r="F13" s="5"/>
    </row>
    <row r="14" spans="1:6">
      <c r="A14" s="6">
        <f t="shared" si="0"/>
        <v>13</v>
      </c>
      <c r="B14" s="6"/>
      <c r="C14" s="16"/>
      <c r="D14" s="16"/>
      <c r="E14" s="5"/>
      <c r="F14" s="5"/>
    </row>
    <row r="15" spans="1:6">
      <c r="A15" s="6">
        <f t="shared" si="0"/>
        <v>14</v>
      </c>
      <c r="B15" s="6"/>
      <c r="C15" s="16"/>
      <c r="D15" s="16"/>
      <c r="E15" s="5"/>
      <c r="F15" s="5"/>
    </row>
    <row r="16" spans="1:6">
      <c r="A16" s="6">
        <f t="shared" si="0"/>
        <v>15</v>
      </c>
      <c r="B16" s="6"/>
      <c r="C16" s="16"/>
      <c r="D16" s="16"/>
      <c r="E16" s="5"/>
      <c r="F16" s="5"/>
    </row>
    <row r="17" spans="1:6">
      <c r="A17" s="6">
        <f t="shared" si="0"/>
        <v>16</v>
      </c>
      <c r="B17" s="6"/>
      <c r="C17" s="16"/>
      <c r="D17" s="16"/>
      <c r="E17" s="5"/>
      <c r="F17" s="5"/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7"/>
  <sheetViews>
    <sheetView workbookViewId="0">
      <pane xSplit="1" ySplit="2" topLeftCell="D6" activePane="bottomRight" state="frozen"/>
      <selection/>
      <selection pane="topRight"/>
      <selection pane="bottomLeft"/>
      <selection pane="bottomRight" activeCell="C23" sqref="C23"/>
    </sheetView>
  </sheetViews>
  <sheetFormatPr defaultColWidth="9" defaultRowHeight="13.5" outlineLevelCol="4"/>
  <cols>
    <col min="1" max="1" width="9" style="1"/>
    <col min="2" max="2" width="21.7666666666667" style="1" customWidth="1"/>
    <col min="3" max="3" width="46.25" style="2" customWidth="1"/>
    <col min="4" max="4" width="35.875" style="2" hidden="1" customWidth="1"/>
    <col min="5" max="5" width="9" style="1"/>
    <col min="6" max="16384" width="9" style="3"/>
  </cols>
  <sheetData>
    <row r="2" ht="24.3" customHeight="1" spans="1:5">
      <c r="A2" s="4" t="s">
        <v>9</v>
      </c>
      <c r="B2" s="4" t="s">
        <v>424</v>
      </c>
      <c r="C2" s="4" t="s">
        <v>425</v>
      </c>
      <c r="D2" s="4" t="s">
        <v>426</v>
      </c>
      <c r="E2" s="4" t="s">
        <v>5</v>
      </c>
    </row>
    <row r="3" ht="54" spans="1:5">
      <c r="A3" s="5">
        <f t="shared" ref="A3:A13" si="0">ROW()-2</f>
        <v>1</v>
      </c>
      <c r="B3" s="6" t="s">
        <v>427</v>
      </c>
      <c r="C3" s="7" t="s">
        <v>428</v>
      </c>
      <c r="D3" s="8" t="s">
        <v>429</v>
      </c>
      <c r="E3" s="5"/>
    </row>
    <row r="4" ht="54" spans="1:5">
      <c r="A4" s="5">
        <f t="shared" si="0"/>
        <v>2</v>
      </c>
      <c r="B4" s="6" t="s">
        <v>430</v>
      </c>
      <c r="C4" s="7" t="s">
        <v>431</v>
      </c>
      <c r="D4" s="8" t="s">
        <v>432</v>
      </c>
      <c r="E4" s="5"/>
    </row>
    <row r="5" ht="40.5" spans="1:5">
      <c r="A5" s="5">
        <f t="shared" si="0"/>
        <v>3</v>
      </c>
      <c r="B5" s="6" t="s">
        <v>433</v>
      </c>
      <c r="C5" s="7" t="s">
        <v>434</v>
      </c>
      <c r="D5" s="7"/>
      <c r="E5" s="5"/>
    </row>
    <row r="6" ht="54" spans="1:5">
      <c r="A6" s="5">
        <f t="shared" si="0"/>
        <v>4</v>
      </c>
      <c r="B6" s="6" t="s">
        <v>435</v>
      </c>
      <c r="C6" s="7" t="s">
        <v>436</v>
      </c>
      <c r="D6" s="7" t="s">
        <v>437</v>
      </c>
      <c r="E6" s="5"/>
    </row>
    <row r="7" ht="94.5" spans="1:5">
      <c r="A7" s="5">
        <f t="shared" si="0"/>
        <v>5</v>
      </c>
      <c r="B7" s="6" t="s">
        <v>438</v>
      </c>
      <c r="C7" s="7" t="s">
        <v>439</v>
      </c>
      <c r="D7" s="9"/>
      <c r="E7" s="5"/>
    </row>
    <row r="8" ht="81" spans="1:5">
      <c r="A8" s="5">
        <f t="shared" si="0"/>
        <v>6</v>
      </c>
      <c r="B8" s="6" t="s">
        <v>440</v>
      </c>
      <c r="C8" s="7" t="s">
        <v>441</v>
      </c>
      <c r="D8" s="7" t="s">
        <v>442</v>
      </c>
      <c r="E8" s="5"/>
    </row>
    <row r="9" ht="27" spans="1:5">
      <c r="A9" s="5">
        <f t="shared" si="0"/>
        <v>7</v>
      </c>
      <c r="B9" s="6" t="s">
        <v>443</v>
      </c>
      <c r="C9" s="8" t="s">
        <v>444</v>
      </c>
      <c r="D9" s="7" t="s">
        <v>445</v>
      </c>
      <c r="E9" s="5"/>
    </row>
    <row r="10" ht="40.35" customHeight="1" spans="1:5">
      <c r="A10" s="5">
        <f t="shared" si="0"/>
        <v>8</v>
      </c>
      <c r="B10" s="6" t="s">
        <v>446</v>
      </c>
      <c r="C10" s="7" t="s">
        <v>447</v>
      </c>
      <c r="D10" s="9"/>
      <c r="E10" s="5"/>
    </row>
    <row r="11" ht="54" spans="1:5">
      <c r="A11" s="5">
        <f t="shared" si="0"/>
        <v>9</v>
      </c>
      <c r="B11" s="6" t="s">
        <v>448</v>
      </c>
      <c r="C11" s="7" t="s">
        <v>449</v>
      </c>
      <c r="D11" s="7"/>
      <c r="E11" s="5"/>
    </row>
    <row r="12" ht="67.5" spans="1:5">
      <c r="A12" s="5">
        <f t="shared" si="0"/>
        <v>10</v>
      </c>
      <c r="B12" s="6" t="s">
        <v>450</v>
      </c>
      <c r="C12" s="7" t="s">
        <v>451</v>
      </c>
      <c r="D12" s="7" t="s">
        <v>452</v>
      </c>
      <c r="E12" s="5"/>
    </row>
    <row r="13" ht="94.5" spans="1:5">
      <c r="A13" s="5">
        <f t="shared" si="0"/>
        <v>11</v>
      </c>
      <c r="B13" s="6" t="s">
        <v>453</v>
      </c>
      <c r="C13" s="7" t="s">
        <v>454</v>
      </c>
      <c r="D13" s="7" t="s">
        <v>455</v>
      </c>
      <c r="E13" s="5"/>
    </row>
    <row r="14" ht="40.5" spans="1:5">
      <c r="A14" s="5">
        <f t="shared" ref="A14:A23" si="1">ROW()-2</f>
        <v>12</v>
      </c>
      <c r="B14" s="6" t="s">
        <v>456</v>
      </c>
      <c r="C14" s="7" t="s">
        <v>457</v>
      </c>
      <c r="D14" s="8" t="s">
        <v>458</v>
      </c>
      <c r="E14" s="5"/>
    </row>
    <row r="15" ht="27" spans="1:5">
      <c r="A15" s="5">
        <f t="shared" si="1"/>
        <v>13</v>
      </c>
      <c r="B15" s="10" t="s">
        <v>459</v>
      </c>
      <c r="C15" s="7" t="s">
        <v>460</v>
      </c>
      <c r="D15" s="8" t="s">
        <v>461</v>
      </c>
      <c r="E15" s="5"/>
    </row>
    <row r="16" ht="43.35" customHeight="1" spans="1:5">
      <c r="A16" s="5">
        <f t="shared" si="1"/>
        <v>14</v>
      </c>
      <c r="B16" s="6" t="s">
        <v>462</v>
      </c>
      <c r="C16" s="7" t="s">
        <v>463</v>
      </c>
      <c r="D16" s="8" t="s">
        <v>464</v>
      </c>
      <c r="E16" s="5"/>
    </row>
    <row r="17" ht="54" spans="1:5">
      <c r="A17" s="5">
        <f t="shared" si="1"/>
        <v>15</v>
      </c>
      <c r="B17" s="6" t="s">
        <v>465</v>
      </c>
      <c r="C17" s="7" t="s">
        <v>466</v>
      </c>
      <c r="D17" s="8" t="s">
        <v>467</v>
      </c>
      <c r="E17" s="5"/>
    </row>
    <row r="18" ht="43.35" customHeight="1" spans="1:5">
      <c r="A18" s="5">
        <f t="shared" si="1"/>
        <v>16</v>
      </c>
      <c r="B18" s="6" t="s">
        <v>468</v>
      </c>
      <c r="C18" s="7" t="s">
        <v>469</v>
      </c>
      <c r="D18" s="8" t="s">
        <v>470</v>
      </c>
      <c r="E18" s="5"/>
    </row>
    <row r="19" ht="40.5" spans="1:5">
      <c r="A19" s="5">
        <f t="shared" si="1"/>
        <v>17</v>
      </c>
      <c r="B19" s="6" t="s">
        <v>471</v>
      </c>
      <c r="C19" s="7" t="s">
        <v>472</v>
      </c>
      <c r="D19" s="8" t="s">
        <v>473</v>
      </c>
      <c r="E19" s="5"/>
    </row>
    <row r="20" ht="40.5" spans="1:5">
      <c r="A20" s="5">
        <f t="shared" si="1"/>
        <v>18</v>
      </c>
      <c r="B20" s="6" t="s">
        <v>474</v>
      </c>
      <c r="C20" s="7" t="s">
        <v>475</v>
      </c>
      <c r="D20" s="8" t="s">
        <v>476</v>
      </c>
      <c r="E20" s="5"/>
    </row>
    <row r="21" ht="81" spans="1:5">
      <c r="A21" s="5">
        <f t="shared" si="1"/>
        <v>19</v>
      </c>
      <c r="B21" s="6" t="s">
        <v>477</v>
      </c>
      <c r="C21" s="7" t="s">
        <v>478</v>
      </c>
      <c r="D21" s="8" t="s">
        <v>479</v>
      </c>
      <c r="E21" s="5"/>
    </row>
    <row r="22" ht="67.5" spans="1:5">
      <c r="A22" s="5">
        <f t="shared" si="1"/>
        <v>20</v>
      </c>
      <c r="B22" s="6" t="s">
        <v>480</v>
      </c>
      <c r="C22" s="7" t="s">
        <v>481</v>
      </c>
      <c r="D22" s="8" t="s">
        <v>482</v>
      </c>
      <c r="E22" s="5"/>
    </row>
    <row r="23" ht="67.5" spans="1:5">
      <c r="A23" s="5">
        <f t="shared" ref="A23:A30" si="2">ROW()-2</f>
        <v>21</v>
      </c>
      <c r="B23" s="6" t="s">
        <v>483</v>
      </c>
      <c r="C23" s="7" t="s">
        <v>484</v>
      </c>
      <c r="D23" s="8" t="s">
        <v>485</v>
      </c>
      <c r="E23" s="5"/>
    </row>
    <row r="24" spans="1:5">
      <c r="A24" s="5">
        <f t="shared" si="2"/>
        <v>22</v>
      </c>
      <c r="B24" s="5"/>
      <c r="C24" s="9"/>
      <c r="D24" s="9"/>
      <c r="E24" s="5"/>
    </row>
    <row r="25" spans="1:5">
      <c r="A25" s="5">
        <f t="shared" si="2"/>
        <v>23</v>
      </c>
      <c r="B25" s="5"/>
      <c r="C25" s="9"/>
      <c r="D25" s="9"/>
      <c r="E25" s="5"/>
    </row>
    <row r="26" spans="1:5">
      <c r="A26" s="5">
        <f t="shared" si="2"/>
        <v>24</v>
      </c>
      <c r="B26" s="5"/>
      <c r="C26" s="9"/>
      <c r="D26" s="9"/>
      <c r="E26" s="5"/>
    </row>
    <row r="27" spans="1:5">
      <c r="A27" s="5">
        <f t="shared" si="2"/>
        <v>25</v>
      </c>
      <c r="B27" s="5"/>
      <c r="C27" s="9"/>
      <c r="D27" s="9"/>
      <c r="E27" s="5"/>
    </row>
    <row r="28" spans="1:5">
      <c r="A28" s="5">
        <f t="shared" si="2"/>
        <v>26</v>
      </c>
      <c r="B28" s="5"/>
      <c r="C28" s="9"/>
      <c r="D28" s="9"/>
      <c r="E28" s="5"/>
    </row>
    <row r="29" spans="1:5">
      <c r="A29" s="5">
        <f t="shared" si="2"/>
        <v>27</v>
      </c>
      <c r="B29" s="5"/>
      <c r="C29" s="9"/>
      <c r="D29" s="9"/>
      <c r="E29" s="5"/>
    </row>
    <row r="30" spans="1:5">
      <c r="A30" s="5">
        <f t="shared" si="2"/>
        <v>28</v>
      </c>
      <c r="B30" s="5"/>
      <c r="C30" s="9"/>
      <c r="D30" s="9"/>
      <c r="E30" s="5"/>
    </row>
    <row r="31" spans="1:5">
      <c r="A31" s="5"/>
      <c r="B31" s="5"/>
      <c r="C31" s="9"/>
      <c r="D31" s="9"/>
      <c r="E31" s="5"/>
    </row>
    <row r="32" spans="1:5">
      <c r="A32" s="5"/>
      <c r="B32" s="5"/>
      <c r="C32" s="9"/>
      <c r="D32" s="9"/>
      <c r="E32" s="5"/>
    </row>
    <row r="33" spans="1:5">
      <c r="A33" s="5"/>
      <c r="B33" s="5"/>
      <c r="C33" s="9"/>
      <c r="D33" s="9"/>
      <c r="E33" s="5"/>
    </row>
    <row r="34" spans="1:5">
      <c r="A34" s="5"/>
      <c r="B34" s="5"/>
      <c r="C34" s="9"/>
      <c r="D34" s="9"/>
      <c r="E34" s="5"/>
    </row>
    <row r="35" spans="1:5">
      <c r="A35" s="5"/>
      <c r="B35" s="5"/>
      <c r="C35" s="9"/>
      <c r="D35" s="9"/>
      <c r="E35" s="5"/>
    </row>
    <row r="36" spans="1:5">
      <c r="A36" s="5"/>
      <c r="B36" s="5"/>
      <c r="C36" s="9"/>
      <c r="D36" s="9"/>
      <c r="E36" s="5"/>
    </row>
    <row r="37" spans="1:5">
      <c r="A37" s="5"/>
      <c r="B37" s="5"/>
      <c r="C37" s="9"/>
      <c r="D37" s="9"/>
      <c r="E37" s="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allowEditUser xmlns="https://web.wps.cn/et/2018/main" xmlns:s="http://schemas.openxmlformats.org/spreadsheetml/2006/main" hasInvisiblePropRange="0">
  <rangeList sheetStid="7" master="" otherUserPermission="visible"/>
  <rangeList sheetStid="10" master="" otherUserPermission="visible"/>
  <rangeList sheetStid="1" master="" otherUserPermission="visible"/>
  <rangeList sheetStid="11" master="" otherUserPermission="visible"/>
  <rangeList sheetStid="18" master="" otherUserPermission="edit"/>
  <rangeList sheetStid="14" master="" otherUserPermission="edit">
    <arrUserId title="Range1" rangeCreator="" othersAccessPermission="invisible">
      <userID accessPermission="edit">317148928</userID>
    </arrUserId>
  </rangeList>
  <rangeList sheetStid="16" master="" otherUserPermission="edit"/>
</allowEditUser>
</file>

<file path=customXml/item2.xml><?xml version="1.0" encoding="utf-8"?>
<dvExts xmlns="http://www.wps.cn/et/2023/dataValidationExt" xmlns:s="http://schemas.openxmlformats.org/spreadsheetml/2006/main">
  <dvExt uuid="{20c2ff73-5bcd-4b00-9718-daba23095239}">
    <list multiSupport="0" colorSupport="1">
      <item index="0">
        <color s:rgb="FF1FBB6A"/>
      </item>
      <item index="1">
        <color s:rgb="FF30A4E4"/>
      </item>
      <item index="2">
        <color s:rgb="FF00BBBB"/>
      </item>
    </list>
  </dvExt>
  <dvExt uuid="{38674a27-23f2-42e1-9dda-6e0ec110dd38}">
    <list multiSupport="0" colorSupport="1">
      <item index="0">
        <color s:rgb="FF5081C2"/>
      </item>
      <item index="1">
        <color s:rgb="FF30A4E4"/>
      </item>
      <item index="2">
        <color s:rgb="FF00BBBB"/>
      </item>
      <item index="3">
        <color s:rgb="FF1FBB6A"/>
      </item>
      <item index="4">
        <color s:rgb="FFE4B40D"/>
      </item>
      <item index="5">
        <color s:rgb="FFF09200"/>
      </item>
      <item index="6">
        <color s:rgb="FFE9552D"/>
      </item>
      <item index="7">
        <color s:rgb="FFDD4595"/>
      </item>
    </list>
  </dvExt>
  <dvExt uuid="{40124bac-7f17-4ae5-8881-c48d0743a5d6}">
    <list multiSupport="0" colorSupport="1">
      <item index="0">
        <color s:rgb="FF1FBB6A"/>
      </item>
      <item index="1">
        <color s:rgb="FFE9552D"/>
      </item>
    </list>
  </dvExt>
  <dvExt uuid="{826ce26f-e584-4ff5-b23d-3cc5ab812985}">
    <list multiSupport="0" colorSupport="1">
      <item index="0">
        <color s:rgb="FF1FBB6A"/>
      </item>
      <item index="1">
        <color s:rgb="FF30A4E4"/>
      </item>
    </list>
  </dvExt>
  <dvExt uuid="{b056a4cc-81d3-464b-8729-cdceb74be2bf}">
    <list multiSupport="1" colorSupport="1"/>
  </dvExt>
  <dvExt uuid="{daac0c8a-2188-43af-8f2e-56ee0c8ea482}">
    <list multiSupport="0" colorSupport="1">
      <item index="0">
        <color s:rgb="FF5081C2"/>
      </item>
      <item index="1">
        <color s:rgb="FF30A4E4"/>
      </item>
      <item index="2">
        <color s:rgb="FF00BBBB"/>
      </item>
      <item index="3">
        <color s:rgb="FF1FBB6A"/>
      </item>
      <item index="4">
        <color s:rgb="FFE4B40D"/>
      </item>
      <item index="5">
        <color s:rgb="FFF09200"/>
      </item>
      <item index="6">
        <color s:rgb="FFE9552D"/>
      </item>
    </list>
  </dvExt>
  <dvExt uuid="{e4cffe19-c437-48c2-a9db-0ae695220e61}">
    <list multiSupport="0" colorSupport="1">
      <item index="0">
        <color s:rgb="FF1FBB6A"/>
      </item>
      <item index="1">
        <color s:rgb="FF6BBFEE"/>
      </item>
    </list>
  </dvExt>
</dvExts>
</file>

<file path=customXml/item3.xml><?xml version="1.0" encoding="utf-8"?>
<autofilters xmlns="https://web.wps.cn/et/2018/main">
  <sheetItem sheetStid="7">
    <filterData filterID="287929171"/>
    <filterData filterID="1044886441"/>
    <filterData filterID="236163929">
      <hiddenRange rowFrom="2" rowTo="2"/>
      <hiddenRange rowFrom="15" rowTo="25"/>
      <hiddenRange rowFrom="31" rowTo="33"/>
      <hiddenRange rowFrom="38" rowTo="43"/>
      <hiddenRange rowFrom="51" rowTo="51"/>
      <hiddenRange rowFrom="53" rowTo="53"/>
      <hiddenRange rowFrom="55" rowTo="55"/>
      <hiddenRange rowFrom="63" rowTo="69"/>
      <hiddenRange rowFrom="89" rowTo="89"/>
      <hiddenRange rowFrom="95" rowTo="119"/>
    </filterData>
    <filterData filterID="1147951705">
      <hiddenRange rowFrom="2" rowTo="14"/>
      <hiddenRange rowFrom="76" rowTo="119"/>
    </filterData>
    <autofilterInfo filterID="236163929">
      <autoFilter xmlns="http://schemas.openxmlformats.org/spreadsheetml/2006/main" ref="A2:AG125">
        <filterColumn colId="9">
          <customFilters>
            <customFilter operator="equal" val="√"/>
          </customFilters>
        </filterColumn>
      </autoFilter>
    </autofilterInfo>
    <autofilterInfo filterID="1147951705">
      <autoFilter xmlns="http://schemas.openxmlformats.org/spreadsheetml/2006/main" ref="A2:AG125">
        <filterColumn colId="2">
          <filters>
            <filter val="03系统实现"/>
            <filter val="05上线试运行支持"/>
            <filter val="04上线准备及切换"/>
            <filter val="02蓝图及详细方案迭代"/>
          </filters>
        </filterColumn>
      </autoFilter>
    </autofilterInfo>
  </sheetItem>
</autofilters>
</file>

<file path=customXml/item4.xml><?xml version="1.0" encoding="utf-8"?>
<woProps xmlns="https://web.wps.cn/et/2018/main" xmlns:s="http://schemas.openxmlformats.org/spreadsheetml/2006/main">
  <woSheetsProps>
    <woSheetProps sheetStid="7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</woSheetsProps>
  <woBookProps>
    <bookSettings fileId="479662173183" isFilterShared="0" woEtMtcEnabled="0" coreConquerUserId="" isAutoUpdatePaused="0" filterType="user" isMergeTasksAutoUpdate="0" isInserPicAsAttachment="0" supportDbFmlaDisp="0"/>
  </woBookProps>
</woProps>
</file>

<file path=customXml/item5.xml><?xml version="1.0" encoding="utf-8"?>
<pixelators xmlns="https://web.wps.cn/et/2018/main" xmlns:s="http://schemas.openxmlformats.org/spreadsheetml/2006/main">
  <pixelatorList sheetStid="7"/>
  <pixelatorList sheetStid="10"/>
  <pixelatorList sheetStid="1"/>
  <pixelatorList sheetStid="11"/>
  <pixelatorList sheetStid="18"/>
  <pixelatorList sheetStid="14"/>
  <pixelatorList sheetStid="16"/>
  <pixelatorList sheetStid="19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3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阶段交付物情况</vt:lpstr>
      <vt:lpstr>释义备注</vt:lpstr>
      <vt:lpstr>交付管理</vt:lpstr>
      <vt:lpstr>分工</vt:lpstr>
      <vt:lpstr>数据统计表</vt:lpstr>
      <vt:lpstr>文档变更记录</vt:lpstr>
      <vt:lpstr>关键文档质量要求（草稿）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罗哒哒</dc:creator>
  <cp:lastModifiedBy>罗沿鑫</cp:lastModifiedBy>
  <dcterms:created xsi:type="dcterms:W3CDTF">2026-01-21T10:13:00Z</dcterms:created>
  <dcterms:modified xsi:type="dcterms:W3CDTF">2026-01-21T14:52:00Z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1434CC889BDB485BBEE7929886BAEDBE_11</vt:lpwstr>
  </property>
  <property fmtid="{D5CDD505-2E9C-101B-9397-08002B2CF9AE}" pid="3" name="KSOProductBuildVer">
    <vt:lpwstr>2052-12.9.0.27482</vt:lpwstr>
  </property>
  <property fmtid="{D5CDD505-2E9C-101B-9397-08002B2CF9AE}" pid="4" name="CalculationRule">
    <vt:i4>1</vt:i4>
  </property>
</Properties>
</file>